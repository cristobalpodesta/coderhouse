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77FCA866-2B93-472A-8B53-D9B1E1F01A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Analisis" sheetId="4" r:id="rId2"/>
    <sheet name="Registro de Ventas" sheetId="2" r:id="rId3"/>
  </sheets>
  <definedNames>
    <definedName name="_xlnm._FilterDatabase" localSheetId="2" hidden="1">'Registro de Ventas'!$A$1:$K$201</definedName>
  </definedNames>
  <calcPr calcId="191029"/>
  <pivotCaches>
    <pivotCache cacheId="6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D8" i="1"/>
  <c r="G8" i="1"/>
  <c r="J8" i="1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J113" i="2"/>
  <c r="I113" i="2"/>
  <c r="K113" i="2" s="1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J43" i="2" s="1"/>
  <c r="K43" i="2" s="1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J8" i="2" s="1"/>
  <c r="K8" i="2" s="1"/>
  <c r="H8" i="2"/>
  <c r="I7" i="2"/>
  <c r="H7" i="2"/>
  <c r="I6" i="2"/>
  <c r="H6" i="2"/>
  <c r="I5" i="2"/>
  <c r="H5" i="2"/>
  <c r="I4" i="2"/>
  <c r="H4" i="2"/>
  <c r="I3" i="2"/>
  <c r="H3" i="2"/>
  <c r="I2" i="2"/>
  <c r="H2" i="2"/>
  <c r="J201" i="2" l="1"/>
  <c r="K201" i="2" s="1"/>
  <c r="J200" i="2"/>
  <c r="K200" i="2"/>
  <c r="J199" i="2"/>
  <c r="K199" i="2"/>
  <c r="J198" i="2"/>
  <c r="K198" i="2" s="1"/>
  <c r="J197" i="2"/>
  <c r="K197" i="2" s="1"/>
  <c r="J196" i="2"/>
  <c r="K196" i="2" s="1"/>
  <c r="J195" i="2"/>
  <c r="K195" i="2" s="1"/>
  <c r="J194" i="2"/>
  <c r="K194" i="2"/>
  <c r="J193" i="2"/>
  <c r="K193" i="2"/>
  <c r="J192" i="2"/>
  <c r="K192" i="2"/>
  <c r="J191" i="2"/>
  <c r="K191" i="2" s="1"/>
  <c r="J190" i="2"/>
  <c r="K190" i="2" s="1"/>
  <c r="J189" i="2"/>
  <c r="K189" i="2"/>
  <c r="J188" i="2"/>
  <c r="K188" i="2" s="1"/>
  <c r="J187" i="2"/>
  <c r="K187" i="2" s="1"/>
  <c r="J186" i="2"/>
  <c r="K186" i="2"/>
  <c r="J185" i="2"/>
  <c r="K185" i="2" s="1"/>
  <c r="J184" i="2"/>
  <c r="K184" i="2"/>
  <c r="J183" i="2"/>
  <c r="K183" i="2" s="1"/>
  <c r="J182" i="2"/>
  <c r="K182" i="2" s="1"/>
  <c r="J181" i="2"/>
  <c r="K181" i="2" s="1"/>
  <c r="J180" i="2"/>
  <c r="K180" i="2"/>
  <c r="J179" i="2"/>
  <c r="K179" i="2" s="1"/>
  <c r="J178" i="2"/>
  <c r="K178" i="2"/>
  <c r="J177" i="2"/>
  <c r="K177" i="2" s="1"/>
  <c r="J176" i="2"/>
  <c r="K176" i="2" s="1"/>
  <c r="J175" i="2"/>
  <c r="K175" i="2" s="1"/>
  <c r="J174" i="2"/>
  <c r="K174" i="2"/>
  <c r="J173" i="2"/>
  <c r="K173" i="2" s="1"/>
  <c r="J172" i="2"/>
  <c r="K172" i="2"/>
  <c r="J171" i="2"/>
  <c r="K171" i="2" s="1"/>
  <c r="J170" i="2"/>
  <c r="K170" i="2"/>
  <c r="J169" i="2"/>
  <c r="K169" i="2"/>
  <c r="J168" i="2"/>
  <c r="K168" i="2" s="1"/>
  <c r="J167" i="2"/>
  <c r="K167" i="2"/>
  <c r="J166" i="2"/>
  <c r="K166" i="2"/>
  <c r="J165" i="2"/>
  <c r="K165" i="2"/>
  <c r="J164" i="2"/>
  <c r="K164" i="2" s="1"/>
  <c r="J163" i="2"/>
  <c r="K163" i="2"/>
  <c r="J162" i="2"/>
  <c r="K162" i="2" s="1"/>
  <c r="J161" i="2"/>
  <c r="K161" i="2"/>
  <c r="J160" i="2"/>
  <c r="K160" i="2" s="1"/>
  <c r="J159" i="2"/>
  <c r="K159" i="2"/>
  <c r="J158" i="2"/>
  <c r="K158" i="2" s="1"/>
  <c r="J157" i="2"/>
  <c r="K157" i="2" s="1"/>
  <c r="J156" i="2"/>
  <c r="K156" i="2" s="1"/>
  <c r="J155" i="2"/>
  <c r="K155" i="2"/>
  <c r="J154" i="2"/>
  <c r="K154" i="2" s="1"/>
  <c r="J153" i="2"/>
  <c r="K153" i="2" s="1"/>
  <c r="J152" i="2"/>
  <c r="K152" i="2"/>
  <c r="J151" i="2"/>
  <c r="K151" i="2" s="1"/>
  <c r="J150" i="2"/>
  <c r="K150" i="2" s="1"/>
  <c r="J149" i="2"/>
  <c r="K149" i="2" s="1"/>
  <c r="J148" i="2"/>
  <c r="K148" i="2" s="1"/>
  <c r="J147" i="2"/>
  <c r="K147" i="2" s="1"/>
  <c r="J146" i="2"/>
  <c r="K146" i="2" s="1"/>
  <c r="J145" i="2"/>
  <c r="K145" i="2"/>
  <c r="J144" i="2"/>
  <c r="K144" i="2" s="1"/>
  <c r="J143" i="2"/>
  <c r="K143" i="2"/>
  <c r="J142" i="2"/>
  <c r="K142" i="2"/>
  <c r="J141" i="2"/>
  <c r="K141" i="2"/>
  <c r="J140" i="2"/>
  <c r="K140" i="2"/>
  <c r="J139" i="2"/>
  <c r="K139" i="2"/>
  <c r="J138" i="2"/>
  <c r="K138" i="2"/>
  <c r="J137" i="2"/>
  <c r="K137" i="2" s="1"/>
  <c r="J136" i="2"/>
  <c r="K136" i="2" s="1"/>
  <c r="J135" i="2"/>
  <c r="K135" i="2"/>
  <c r="J134" i="2"/>
  <c r="K134" i="2"/>
  <c r="J133" i="2"/>
  <c r="K133" i="2"/>
  <c r="J132" i="2"/>
  <c r="K132" i="2" s="1"/>
  <c r="J131" i="2"/>
  <c r="K131" i="2" s="1"/>
  <c r="J130" i="2"/>
  <c r="K130" i="2" s="1"/>
  <c r="J129" i="2"/>
  <c r="K129" i="2"/>
  <c r="J128" i="2"/>
  <c r="K128" i="2"/>
  <c r="J127" i="2"/>
  <c r="K127" i="2" s="1"/>
  <c r="J126" i="2"/>
  <c r="K126" i="2" s="1"/>
  <c r="J125" i="2"/>
  <c r="K125" i="2" s="1"/>
  <c r="J124" i="2"/>
  <c r="K124" i="2" s="1"/>
  <c r="J123" i="2"/>
  <c r="K123" i="2" s="1"/>
  <c r="J122" i="2"/>
  <c r="K122" i="2" s="1"/>
  <c r="J121" i="2"/>
  <c r="K121" i="2"/>
  <c r="J120" i="2"/>
  <c r="K120" i="2"/>
  <c r="J119" i="2"/>
  <c r="K119" i="2"/>
  <c r="J118" i="2"/>
  <c r="K118" i="2" s="1"/>
  <c r="J117" i="2"/>
  <c r="K117" i="2"/>
  <c r="J116" i="2"/>
  <c r="K116" i="2"/>
  <c r="J115" i="2"/>
  <c r="K115" i="2"/>
  <c r="J114" i="2"/>
  <c r="K114" i="2"/>
  <c r="J112" i="2"/>
  <c r="K112" i="2"/>
  <c r="J111" i="2"/>
  <c r="K111" i="2" s="1"/>
  <c r="J110" i="2"/>
  <c r="K110" i="2" s="1"/>
  <c r="J109" i="2"/>
  <c r="K109" i="2" s="1"/>
  <c r="J108" i="2"/>
  <c r="K108" i="2" s="1"/>
  <c r="J107" i="2"/>
  <c r="K107" i="2" s="1"/>
  <c r="J106" i="2"/>
  <c r="K106" i="2" s="1"/>
  <c r="J105" i="2"/>
  <c r="K105" i="2" s="1"/>
  <c r="J104" i="2"/>
  <c r="K104" i="2" s="1"/>
  <c r="J103" i="2"/>
  <c r="K103" i="2" s="1"/>
  <c r="J102" i="2"/>
  <c r="K102" i="2" s="1"/>
  <c r="J101" i="2"/>
  <c r="K101" i="2" s="1"/>
  <c r="J100" i="2"/>
  <c r="K100" i="2"/>
  <c r="J99" i="2"/>
  <c r="K99" i="2"/>
  <c r="J98" i="2"/>
  <c r="K98" i="2" s="1"/>
  <c r="J97" i="2"/>
  <c r="K97" i="2"/>
  <c r="J96" i="2"/>
  <c r="K96" i="2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9" i="2"/>
  <c r="K89" i="2" s="1"/>
  <c r="J88" i="2"/>
  <c r="K88" i="2" s="1"/>
  <c r="J87" i="2"/>
  <c r="K87" i="2" s="1"/>
  <c r="J86" i="2"/>
  <c r="K86" i="2" s="1"/>
  <c r="J85" i="2"/>
  <c r="K85" i="2" s="1"/>
  <c r="J84" i="2"/>
  <c r="K84" i="2" s="1"/>
  <c r="J83" i="2"/>
  <c r="K83" i="2" s="1"/>
  <c r="J82" i="2"/>
  <c r="K82" i="2" s="1"/>
  <c r="J81" i="2"/>
  <c r="K81" i="2" s="1"/>
  <c r="J80" i="2"/>
  <c r="K80" i="2" s="1"/>
  <c r="J79" i="2"/>
  <c r="K79" i="2" s="1"/>
  <c r="J78" i="2"/>
  <c r="K78" i="2" s="1"/>
  <c r="J77" i="2"/>
  <c r="K77" i="2" s="1"/>
  <c r="J76" i="2"/>
  <c r="K76" i="2" s="1"/>
  <c r="J75" i="2"/>
  <c r="K75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/>
  <c r="J55" i="2"/>
  <c r="K55" i="2"/>
  <c r="J54" i="2"/>
  <c r="K54" i="2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2" i="2"/>
  <c r="K42" i="2"/>
  <c r="J41" i="2"/>
  <c r="K41" i="2" s="1"/>
  <c r="J40" i="2"/>
  <c r="K40" i="2" s="1"/>
  <c r="J39" i="2"/>
  <c r="K39" i="2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/>
  <c r="J31" i="2"/>
  <c r="K31" i="2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/>
  <c r="J24" i="2"/>
  <c r="K24" i="2" s="1"/>
  <c r="J23" i="2"/>
  <c r="K23" i="2" s="1"/>
  <c r="J22" i="2"/>
  <c r="K22" i="2" s="1"/>
  <c r="J21" i="2"/>
  <c r="K21" i="2" s="1"/>
  <c r="J20" i="2"/>
  <c r="J19" i="2"/>
  <c r="K19" i="2" s="1"/>
  <c r="J18" i="2"/>
  <c r="K18" i="2" s="1"/>
  <c r="J17" i="2"/>
  <c r="K17" i="2"/>
  <c r="J16" i="2"/>
  <c r="K16" i="2" s="1"/>
  <c r="J15" i="2"/>
  <c r="K15" i="2" s="1"/>
  <c r="J14" i="2"/>
  <c r="J13" i="2"/>
  <c r="K13" i="2" s="1"/>
  <c r="J12" i="2"/>
  <c r="K12" i="2" s="1"/>
  <c r="J11" i="2"/>
  <c r="K11" i="2" s="1"/>
  <c r="J10" i="2"/>
  <c r="J9" i="2"/>
  <c r="K9" i="2"/>
  <c r="J7" i="2"/>
  <c r="J6" i="2"/>
  <c r="K6" i="2"/>
  <c r="J5" i="2"/>
  <c r="K5" i="2"/>
  <c r="J4" i="2"/>
  <c r="K4" i="2"/>
  <c r="J3" i="2"/>
  <c r="K3" i="2"/>
  <c r="J2" i="2"/>
  <c r="K2" i="2"/>
  <c r="K20" i="2" l="1"/>
  <c r="K14" i="2"/>
  <c r="K10" i="2"/>
  <c r="K7" i="2"/>
</calcChain>
</file>

<file path=xl/sharedStrings.xml><?xml version="1.0" encoding="utf-8"?>
<sst xmlns="http://schemas.openxmlformats.org/spreadsheetml/2006/main" count="700" uniqueCount="261">
  <si>
    <t>Costo Total</t>
  </si>
  <si>
    <t>Ganancia Bruta</t>
  </si>
  <si>
    <t>Producto</t>
  </si>
  <si>
    <t>Producto A - Cemento</t>
  </si>
  <si>
    <t>Producto B - Hierro 8mm</t>
  </si>
  <si>
    <t>Producto C - Ladrillo Redal</t>
  </si>
  <si>
    <t>Producto D - Pintura Latex 20L</t>
  </si>
  <si>
    <t>Producto E - Placa Roca Yeso</t>
  </si>
  <si>
    <t>Producto F - Arena x m3</t>
  </si>
  <si>
    <t>Producto G - Caño PVC 110</t>
  </si>
  <si>
    <t>Producto H - Cerámico 45x45</t>
  </si>
  <si>
    <t>Producto I - Membrana 4mm</t>
  </si>
  <si>
    <t>Producto J - Adhesivo Imp.</t>
  </si>
  <si>
    <t>ID Venta</t>
  </si>
  <si>
    <t>Fecha</t>
  </si>
  <si>
    <t>Cliente</t>
  </si>
  <si>
    <t>Cantidad</t>
  </si>
  <si>
    <t>Costo Unitario</t>
  </si>
  <si>
    <t>Precio Unitario</t>
  </si>
  <si>
    <t>Venta Total</t>
  </si>
  <si>
    <t>Margen %</t>
  </si>
  <si>
    <t>VEN-1001</t>
  </si>
  <si>
    <t>Hormigones Mendoza</t>
  </si>
  <si>
    <t>VEN-1002</t>
  </si>
  <si>
    <t>Obras &amp; Diseños SRL</t>
  </si>
  <si>
    <t>VEN-1003</t>
  </si>
  <si>
    <t>Inmobiliaria del Valle</t>
  </si>
  <si>
    <t>VEN-1004</t>
  </si>
  <si>
    <t>Estudio M&amp;N Arquitectos</t>
  </si>
  <si>
    <t>VEN-1005</t>
  </si>
  <si>
    <t>VEN-1006</t>
  </si>
  <si>
    <t>Desarrollos Vistalba</t>
  </si>
  <si>
    <t>VEN-1007</t>
  </si>
  <si>
    <t>Proyectos Sustentables SA</t>
  </si>
  <si>
    <t>VEN-1008</t>
  </si>
  <si>
    <t>VEN-1009</t>
  </si>
  <si>
    <t>Constructora Cuyo S.A.</t>
  </si>
  <si>
    <t>VEN-1010</t>
  </si>
  <si>
    <t>VEN-1011</t>
  </si>
  <si>
    <t>VEN-1012</t>
  </si>
  <si>
    <t>VEN-1013</t>
  </si>
  <si>
    <t>VEN-1014</t>
  </si>
  <si>
    <t>VEN-1015</t>
  </si>
  <si>
    <t>Arq. Gabriel Torres</t>
  </si>
  <si>
    <t>VEN-1016</t>
  </si>
  <si>
    <t>VEN-1017</t>
  </si>
  <si>
    <t>VEN-1018</t>
  </si>
  <si>
    <t>VEN-1019</t>
  </si>
  <si>
    <t>Constructora del Oeste</t>
  </si>
  <si>
    <t>VEN-1020</t>
  </si>
  <si>
    <t>VEN-1021</t>
  </si>
  <si>
    <t>VEN-1022</t>
  </si>
  <si>
    <t>VEN-1023</t>
  </si>
  <si>
    <t>VEN-1024</t>
  </si>
  <si>
    <t>VEN-1025</t>
  </si>
  <si>
    <t>VEN-1026</t>
  </si>
  <si>
    <t>Ingeniería &amp; Proyectos</t>
  </si>
  <si>
    <t>VEN-1027</t>
  </si>
  <si>
    <t>VEN-1028</t>
  </si>
  <si>
    <t>VEN-1029</t>
  </si>
  <si>
    <t>VEN-1030</t>
  </si>
  <si>
    <t>VEN-1031</t>
  </si>
  <si>
    <t>VEN-1032</t>
  </si>
  <si>
    <t>VEN-1033</t>
  </si>
  <si>
    <t>VEN-1034</t>
  </si>
  <si>
    <t>VEN-1035</t>
  </si>
  <si>
    <t>VEN-1036</t>
  </si>
  <si>
    <t>VEN-1037</t>
  </si>
  <si>
    <t>VEN-1038</t>
  </si>
  <si>
    <t>VEN-1039</t>
  </si>
  <si>
    <t>VEN-1040</t>
  </si>
  <si>
    <t>VEN-1041</t>
  </si>
  <si>
    <t>VEN-1042</t>
  </si>
  <si>
    <t>VEN-1043</t>
  </si>
  <si>
    <t>VEN-1044</t>
  </si>
  <si>
    <t>VEN-1045</t>
  </si>
  <si>
    <t>VEN-1046</t>
  </si>
  <si>
    <t>VEN-1047</t>
  </si>
  <si>
    <t>VEN-1048</t>
  </si>
  <si>
    <t>VEN-1049</t>
  </si>
  <si>
    <t>VEN-1050</t>
  </si>
  <si>
    <t>VEN-1051</t>
  </si>
  <si>
    <t>VEN-1052</t>
  </si>
  <si>
    <t>VEN-1053</t>
  </si>
  <si>
    <t>VEN-1054</t>
  </si>
  <si>
    <t>VEN-1055</t>
  </si>
  <si>
    <t>VEN-1056</t>
  </si>
  <si>
    <t>VEN-1057</t>
  </si>
  <si>
    <t>VEN-1058</t>
  </si>
  <si>
    <t>VEN-1059</t>
  </si>
  <si>
    <t>VEN-1060</t>
  </si>
  <si>
    <t>VEN-1061</t>
  </si>
  <si>
    <t>VEN-1062</t>
  </si>
  <si>
    <t>VEN-1063</t>
  </si>
  <si>
    <t>VEN-1064</t>
  </si>
  <si>
    <t>VEN-1065</t>
  </si>
  <si>
    <t>VEN-1066</t>
  </si>
  <si>
    <t>VEN-1067</t>
  </si>
  <si>
    <t>VEN-1068</t>
  </si>
  <si>
    <t>VEN-1069</t>
  </si>
  <si>
    <t>VEN-1070</t>
  </si>
  <si>
    <t>VEN-1071</t>
  </si>
  <si>
    <t>VEN-1072</t>
  </si>
  <si>
    <t>VEN-1073</t>
  </si>
  <si>
    <t>VEN-1074</t>
  </si>
  <si>
    <t>VEN-1075</t>
  </si>
  <si>
    <t>VEN-1076</t>
  </si>
  <si>
    <t>VEN-1077</t>
  </si>
  <si>
    <t>VEN-1078</t>
  </si>
  <si>
    <t>VEN-1079</t>
  </si>
  <si>
    <t>VEN-1080</t>
  </si>
  <si>
    <t>VEN-1081</t>
  </si>
  <si>
    <t>VEN-1082</t>
  </si>
  <si>
    <t>VEN-1083</t>
  </si>
  <si>
    <t>VEN-1084</t>
  </si>
  <si>
    <t>VEN-1085</t>
  </si>
  <si>
    <t>VEN-1086</t>
  </si>
  <si>
    <t>VEN-1087</t>
  </si>
  <si>
    <t>VEN-1088</t>
  </si>
  <si>
    <t>VEN-1089</t>
  </si>
  <si>
    <t>VEN-1090</t>
  </si>
  <si>
    <t>VEN-1091</t>
  </si>
  <si>
    <t>VEN-1092</t>
  </si>
  <si>
    <t>VEN-1093</t>
  </si>
  <si>
    <t>VEN-1094</t>
  </si>
  <si>
    <t>VEN-1095</t>
  </si>
  <si>
    <t>VEN-1096</t>
  </si>
  <si>
    <t>VEN-1097</t>
  </si>
  <si>
    <t>VEN-1098</t>
  </si>
  <si>
    <t>VEN-1099</t>
  </si>
  <si>
    <t>VEN-1100</t>
  </si>
  <si>
    <t>VEN-1101</t>
  </si>
  <si>
    <t>VEN-1102</t>
  </si>
  <si>
    <t>VEN-1103</t>
  </si>
  <si>
    <t>VEN-1104</t>
  </si>
  <si>
    <t>VEN-1105</t>
  </si>
  <si>
    <t>VEN-1106</t>
  </si>
  <si>
    <t>VEN-1107</t>
  </si>
  <si>
    <t>VEN-1108</t>
  </si>
  <si>
    <t>VEN-1109</t>
  </si>
  <si>
    <t>VEN-1110</t>
  </si>
  <si>
    <t>VEN-1111</t>
  </si>
  <si>
    <t>VEN-1112</t>
  </si>
  <si>
    <t>VEN-1113</t>
  </si>
  <si>
    <t>VEN-1114</t>
  </si>
  <si>
    <t>VEN-1115</t>
  </si>
  <si>
    <t>VEN-1116</t>
  </si>
  <si>
    <t>VEN-1117</t>
  </si>
  <si>
    <t>VEN-1118</t>
  </si>
  <si>
    <t>VEN-1119</t>
  </si>
  <si>
    <t>VEN-1120</t>
  </si>
  <si>
    <t>VEN-1121</t>
  </si>
  <si>
    <t>VEN-1122</t>
  </si>
  <si>
    <t>VEN-1123</t>
  </si>
  <si>
    <t>VEN-1124</t>
  </si>
  <si>
    <t>VEN-1125</t>
  </si>
  <si>
    <t>VEN-1126</t>
  </si>
  <si>
    <t>VEN-1127</t>
  </si>
  <si>
    <t>VEN-1128</t>
  </si>
  <si>
    <t>VEN-1129</t>
  </si>
  <si>
    <t>VEN-1130</t>
  </si>
  <si>
    <t>VEN-1131</t>
  </si>
  <si>
    <t>VEN-1132</t>
  </si>
  <si>
    <t>VEN-1133</t>
  </si>
  <si>
    <t>VEN-1134</t>
  </si>
  <si>
    <t>VEN-1135</t>
  </si>
  <si>
    <t>VEN-1136</t>
  </si>
  <si>
    <t>VEN-1137</t>
  </si>
  <si>
    <t>VEN-1138</t>
  </si>
  <si>
    <t>VEN-1139</t>
  </si>
  <si>
    <t>VEN-1140</t>
  </si>
  <si>
    <t>VEN-1141</t>
  </si>
  <si>
    <t>VEN-1142</t>
  </si>
  <si>
    <t>VEN-1143</t>
  </si>
  <si>
    <t>VEN-1144</t>
  </si>
  <si>
    <t>VEN-1145</t>
  </si>
  <si>
    <t>VEN-1146</t>
  </si>
  <si>
    <t>VEN-1147</t>
  </si>
  <si>
    <t>VEN-1148</t>
  </si>
  <si>
    <t>VEN-1149</t>
  </si>
  <si>
    <t>VEN-1150</t>
  </si>
  <si>
    <t>VEN-1151</t>
  </si>
  <si>
    <t>VEN-1152</t>
  </si>
  <si>
    <t>VEN-1153</t>
  </si>
  <si>
    <t>VEN-1154</t>
  </si>
  <si>
    <t>VEN-1155</t>
  </si>
  <si>
    <t>VEN-1156</t>
  </si>
  <si>
    <t>VEN-1157</t>
  </si>
  <si>
    <t>VEN-1158</t>
  </si>
  <si>
    <t>VEN-1159</t>
  </si>
  <si>
    <t>VEN-1160</t>
  </si>
  <si>
    <t>VEN-1161</t>
  </si>
  <si>
    <t>VEN-1162</t>
  </si>
  <si>
    <t>VEN-1163</t>
  </si>
  <si>
    <t>VEN-1164</t>
  </si>
  <si>
    <t>VEN-1165</t>
  </si>
  <si>
    <t>VEN-1166</t>
  </si>
  <si>
    <t>VEN-1167</t>
  </si>
  <si>
    <t>VEN-1168</t>
  </si>
  <si>
    <t>VEN-1169</t>
  </si>
  <si>
    <t>VEN-1170</t>
  </si>
  <si>
    <t>VEN-1171</t>
  </si>
  <si>
    <t>VEN-1172</t>
  </si>
  <si>
    <t>VEN-1173</t>
  </si>
  <si>
    <t>VEN-1174</t>
  </si>
  <si>
    <t>VEN-1175</t>
  </si>
  <si>
    <t>VEN-1176</t>
  </si>
  <si>
    <t>VEN-1177</t>
  </si>
  <si>
    <t>VEN-1178</t>
  </si>
  <si>
    <t>VEN-1179</t>
  </si>
  <si>
    <t>VEN-1180</t>
  </si>
  <si>
    <t>VEN-1181</t>
  </si>
  <si>
    <t>VEN-1182</t>
  </si>
  <si>
    <t>VEN-1183</t>
  </si>
  <si>
    <t>VEN-1184</t>
  </si>
  <si>
    <t>VEN-1185</t>
  </si>
  <si>
    <t>VEN-1186</t>
  </si>
  <si>
    <t>VEN-1187</t>
  </si>
  <si>
    <t>VEN-1188</t>
  </si>
  <si>
    <t>VEN-1189</t>
  </si>
  <si>
    <t>VEN-1190</t>
  </si>
  <si>
    <t>VEN-1191</t>
  </si>
  <si>
    <t>VEN-1192</t>
  </si>
  <si>
    <t>VEN-1193</t>
  </si>
  <si>
    <t>VEN-1194</t>
  </si>
  <si>
    <t>VEN-1195</t>
  </si>
  <si>
    <t>VEN-1196</t>
  </si>
  <si>
    <t>VEN-1197</t>
  </si>
  <si>
    <t>VEN-1198</t>
  </si>
  <si>
    <t>VEN-1199</t>
  </si>
  <si>
    <t>VEN-1200</t>
  </si>
  <si>
    <t>Etiquetas de fila</t>
  </si>
  <si>
    <t>Total general</t>
  </si>
  <si>
    <t>2024</t>
  </si>
  <si>
    <t>2025</t>
  </si>
  <si>
    <t>Etiquetas de columna</t>
  </si>
  <si>
    <t>Comparacion de ventas de 2024 vs 2025</t>
  </si>
  <si>
    <t/>
  </si>
  <si>
    <t>Cantidades vendidas por Producto</t>
  </si>
  <si>
    <t>Ganancia Bruta por Producto</t>
  </si>
  <si>
    <t>Venta Total por Producto 24 vs 25</t>
  </si>
  <si>
    <t>Producto Estrella</t>
  </si>
  <si>
    <t xml:space="preserve">Evolucion de ventas por cliente </t>
  </si>
  <si>
    <t>Cantidades vendidas por producto</t>
  </si>
  <si>
    <t>Ventas totales por producto</t>
  </si>
  <si>
    <t>Cayeron las ganancias en el hierro y la membrana, el resto de productos muestra un crecimiento en sus ventas</t>
  </si>
  <si>
    <t>Se debe ajustar la fidelizacion con Constructora Cuyo, es un cliente fuerte y lo hemos perdido este año</t>
  </si>
  <si>
    <t>El Cemento se vende en cantidades pero no se refleja en ganancia bruta, sirve como producto "carnada"</t>
  </si>
  <si>
    <t>La Pintura vuelve a ser el producto que obtiene la mayor cantidad de ventas en facturacion</t>
  </si>
  <si>
    <t>Ganancia Bruta con respecto al 2024</t>
  </si>
  <si>
    <t>Cantidades vendidas con respecto al 2024</t>
  </si>
  <si>
    <t>Cliente Estrella del 2025</t>
  </si>
  <si>
    <t xml:space="preserve">Crecimiento del 73% con respecto al año interior, liderado por la venta de áridos adhesivos y pintura. </t>
  </si>
  <si>
    <t xml:space="preserve">Se recomienda fidelizar mas a la constructora cuyo por su gran aporte en el año anterior, rever la venta de Hierro y cemento. </t>
  </si>
  <si>
    <t xml:space="preserve">Conclusiones </t>
  </si>
  <si>
    <t>1.</t>
  </si>
  <si>
    <t>2.</t>
  </si>
  <si>
    <t>3.</t>
  </si>
  <si>
    <t xml:space="preserve">Podemos notar un gran aumento en las ventas debido al buen trabajo de la fidelizacion de clientes como Hormigones Mendoza e Inmobiliaria del Valle, quien fue el cliente que mas consumió en terminos monetarios, productos. </t>
  </si>
  <si>
    <t>Fuerte caídaque golpea la ganancia bruta por la falta de fidelizacion con Constructora Cuyo, Arq. Gabriel Torres y Obras &amp; Diseño SRL</t>
  </si>
  <si>
    <t>Tanto el hierro como el cemento no son productos que den mucha ganancia pero fidelizan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</si>
</sst>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166" fontId="2" fillId="3" borderId="1" xfId="0" applyNumberFormat="1" applyFont="1" applyFill="1" applyBorder="1"/>
    <xf numFmtId="3" fontId="2" fillId="3" borderId="1" xfId="0" applyNumberFormat="1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166" fontId="2" fillId="0" borderId="1" xfId="0" applyNumberFormat="1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3" fontId="0" fillId="0" borderId="0" xfId="0" applyNumberFormat="1"/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6" borderId="0" xfId="0" applyFill="1"/>
    <xf numFmtId="0" fontId="0" fillId="0" borderId="0" xfId="0" applyFill="1" applyAlignment="1">
      <alignment horizontal="center"/>
    </xf>
    <xf numFmtId="0" fontId="0" fillId="0" borderId="0" xfId="0" applyFill="1"/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9" fontId="4" fillId="4" borderId="0" xfId="1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5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6"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  <dxf>
      <border outline="0">
        <bottom style="double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[PreEntrega9_Podesta_Cristobal.xlsx]Analisis!TablaDinámica13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Analisis!$C$23:$C$24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Analisis!$B$25:$B$35</c:f>
              <c:strCache>
                <c:ptCount val="10"/>
                <c:pt idx="0">
                  <c:v>Producto A - Cemento</c:v>
                </c:pt>
                <c:pt idx="1">
                  <c:v>Producto B - Hierro 8mm</c:v>
                </c:pt>
                <c:pt idx="2">
                  <c:v>Producto C - Ladrillo Redal</c:v>
                </c:pt>
                <c:pt idx="3">
                  <c:v>Producto D - Pintura Latex 20L</c:v>
                </c:pt>
                <c:pt idx="4">
                  <c:v>Producto E - Placa Roca Yeso</c:v>
                </c:pt>
                <c:pt idx="5">
                  <c:v>Producto F - Arena x m3</c:v>
                </c:pt>
                <c:pt idx="6">
                  <c:v>Producto G - Caño PVC 110</c:v>
                </c:pt>
                <c:pt idx="7">
                  <c:v>Producto H - Cerámico 45x45</c:v>
                </c:pt>
                <c:pt idx="8">
                  <c:v>Producto I - Membrana 4mm</c:v>
                </c:pt>
                <c:pt idx="9">
                  <c:v>Producto J - Adhesivo Imp.</c:v>
                </c:pt>
              </c:strCache>
            </c:strRef>
          </c:cat>
          <c:val>
            <c:numRef>
              <c:f>Analisis!$C$25:$C$35</c:f>
              <c:numCache>
                <c:formatCode>\$#,##0</c:formatCode>
                <c:ptCount val="10"/>
                <c:pt idx="0">
                  <c:v>1666000</c:v>
                </c:pt>
                <c:pt idx="1">
                  <c:v>2286000</c:v>
                </c:pt>
                <c:pt idx="2">
                  <c:v>56420</c:v>
                </c:pt>
                <c:pt idx="3">
                  <c:v>6383000</c:v>
                </c:pt>
                <c:pt idx="4">
                  <c:v>671000</c:v>
                </c:pt>
                <c:pt idx="5">
                  <c:v>2561500</c:v>
                </c:pt>
                <c:pt idx="6">
                  <c:v>1265400</c:v>
                </c:pt>
                <c:pt idx="7">
                  <c:v>1576800</c:v>
                </c:pt>
                <c:pt idx="8">
                  <c:v>3247000</c:v>
                </c:pt>
                <c:pt idx="9">
                  <c:v>691200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F-4AC5-A6E7-3DBE78E69AB7}"/>
            </c:ext>
          </c:extLst>
        </c:ser>
        <c:ser>
          <c:idx val="1"/>
          <c:order val="1"/>
          <c:tx>
            <c:strRef>
              <c:f>Analisis!$D$23:$D$24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Analisis!$B$25:$B$35</c:f>
              <c:strCache>
                <c:ptCount val="10"/>
                <c:pt idx="0">
                  <c:v>Producto A - Cemento</c:v>
                </c:pt>
                <c:pt idx="1">
                  <c:v>Producto B - Hierro 8mm</c:v>
                </c:pt>
                <c:pt idx="2">
                  <c:v>Producto C - Ladrillo Redal</c:v>
                </c:pt>
                <c:pt idx="3">
                  <c:v>Producto D - Pintura Latex 20L</c:v>
                </c:pt>
                <c:pt idx="4">
                  <c:v>Producto E - Placa Roca Yeso</c:v>
                </c:pt>
                <c:pt idx="5">
                  <c:v>Producto F - Arena x m3</c:v>
                </c:pt>
                <c:pt idx="6">
                  <c:v>Producto G - Caño PVC 110</c:v>
                </c:pt>
                <c:pt idx="7">
                  <c:v>Producto H - Cerámico 45x45</c:v>
                </c:pt>
                <c:pt idx="8">
                  <c:v>Producto I - Membrana 4mm</c:v>
                </c:pt>
                <c:pt idx="9">
                  <c:v>Producto J - Adhesivo Imp.</c:v>
                </c:pt>
              </c:strCache>
            </c:strRef>
          </c:cat>
          <c:val>
            <c:numRef>
              <c:f>Analisis!$D$25:$D$35</c:f>
              <c:numCache>
                <c:formatCode>\$#,##0</c:formatCode>
                <c:ptCount val="10"/>
                <c:pt idx="0">
                  <c:v>1922700</c:v>
                </c:pt>
                <c:pt idx="1">
                  <c:v>1980000</c:v>
                </c:pt>
                <c:pt idx="2">
                  <c:v>50470</c:v>
                </c:pt>
                <c:pt idx="3">
                  <c:v>8541000</c:v>
                </c:pt>
                <c:pt idx="4">
                  <c:v>1463000</c:v>
                </c:pt>
                <c:pt idx="5">
                  <c:v>4582500</c:v>
                </c:pt>
                <c:pt idx="6">
                  <c:v>2220000</c:v>
                </c:pt>
                <c:pt idx="7">
                  <c:v>1722600</c:v>
                </c:pt>
                <c:pt idx="8">
                  <c:v>3051500</c:v>
                </c:pt>
                <c:pt idx="9">
                  <c:v>2563200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F-4AC5-A6E7-3DBE78E69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845663"/>
        <c:axId val="379846023"/>
      </c:barChart>
      <c:catAx>
        <c:axId val="37984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9846023"/>
        <c:crosses val="autoZero"/>
        <c:auto val="1"/>
        <c:lblAlgn val="ctr"/>
        <c:lblOffset val="100"/>
        <c:noMultiLvlLbl val="0"/>
      </c:catAx>
      <c:valAx>
        <c:axId val="379846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984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[PreEntrega9_Podesta_Cristobal.xlsx]Analisis!TablaDinámica12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Analisis!$C$5:$C$6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Analisis!$B$7:$B$17</c:f>
              <c:strCache>
                <c:ptCount val="10"/>
                <c:pt idx="0">
                  <c:v>Arq. Gabriel Torres</c:v>
                </c:pt>
                <c:pt idx="1">
                  <c:v>Constructora Cuyo S.A.</c:v>
                </c:pt>
                <c:pt idx="2">
                  <c:v>Constructora del Oeste</c:v>
                </c:pt>
                <c:pt idx="3">
                  <c:v>Desarrollos Vistalba</c:v>
                </c:pt>
                <c:pt idx="4">
                  <c:v>Estudio M&amp;N Arquitectos</c:v>
                </c:pt>
                <c:pt idx="5">
                  <c:v>Hormigones Mendoza</c:v>
                </c:pt>
                <c:pt idx="6">
                  <c:v>Ingeniería &amp; Proyectos</c:v>
                </c:pt>
                <c:pt idx="7">
                  <c:v>Inmobiliaria del Valle</c:v>
                </c:pt>
                <c:pt idx="8">
                  <c:v>Obras &amp; Diseños SRL</c:v>
                </c:pt>
                <c:pt idx="9">
                  <c:v>Proyectos Sustentables SA</c:v>
                </c:pt>
              </c:strCache>
            </c:strRef>
          </c:cat>
          <c:val>
            <c:numRef>
              <c:f>Analisis!$C$7:$C$17</c:f>
              <c:numCache>
                <c:formatCode>\$#,##0</c:formatCode>
                <c:ptCount val="10"/>
                <c:pt idx="0">
                  <c:v>10718510</c:v>
                </c:pt>
                <c:pt idx="1">
                  <c:v>12970500</c:v>
                </c:pt>
                <c:pt idx="2">
                  <c:v>4031200</c:v>
                </c:pt>
                <c:pt idx="3">
                  <c:v>5618950</c:v>
                </c:pt>
                <c:pt idx="4">
                  <c:v>3996340</c:v>
                </c:pt>
                <c:pt idx="5">
                  <c:v>3437000</c:v>
                </c:pt>
                <c:pt idx="6">
                  <c:v>984580</c:v>
                </c:pt>
                <c:pt idx="7">
                  <c:v>5290280</c:v>
                </c:pt>
                <c:pt idx="8">
                  <c:v>9920300</c:v>
                </c:pt>
                <c:pt idx="9">
                  <c:v>4801980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6-4208-AEF5-731FF3A2BC89}"/>
            </c:ext>
          </c:extLst>
        </c:ser>
        <c:ser>
          <c:idx val="1"/>
          <c:order val="1"/>
          <c:tx>
            <c:strRef>
              <c:f>Analisis!$D$5:$D$6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Analisis!$B$7:$B$17</c:f>
              <c:strCache>
                <c:ptCount val="10"/>
                <c:pt idx="0">
                  <c:v>Arq. Gabriel Torres</c:v>
                </c:pt>
                <c:pt idx="1">
                  <c:v>Constructora Cuyo S.A.</c:v>
                </c:pt>
                <c:pt idx="2">
                  <c:v>Constructora del Oeste</c:v>
                </c:pt>
                <c:pt idx="3">
                  <c:v>Desarrollos Vistalba</c:v>
                </c:pt>
                <c:pt idx="4">
                  <c:v>Estudio M&amp;N Arquitectos</c:v>
                </c:pt>
                <c:pt idx="5">
                  <c:v>Hormigones Mendoza</c:v>
                </c:pt>
                <c:pt idx="6">
                  <c:v>Ingeniería &amp; Proyectos</c:v>
                </c:pt>
                <c:pt idx="7">
                  <c:v>Inmobiliaria del Valle</c:v>
                </c:pt>
                <c:pt idx="8">
                  <c:v>Obras &amp; Diseños SRL</c:v>
                </c:pt>
                <c:pt idx="9">
                  <c:v>Proyectos Sustentables SA</c:v>
                </c:pt>
              </c:strCache>
            </c:strRef>
          </c:cat>
          <c:val>
            <c:numRef>
              <c:f>Analisis!$D$7:$D$17</c:f>
              <c:numCache>
                <c:formatCode>\$#,##0</c:formatCode>
                <c:ptCount val="10"/>
                <c:pt idx="0">
                  <c:v>8438350</c:v>
                </c:pt>
                <c:pt idx="1">
                  <c:v>4128400</c:v>
                </c:pt>
                <c:pt idx="2">
                  <c:v>5510760</c:v>
                </c:pt>
                <c:pt idx="3">
                  <c:v>10167090</c:v>
                </c:pt>
                <c:pt idx="4">
                  <c:v>7769210</c:v>
                </c:pt>
                <c:pt idx="5">
                  <c:v>11416000</c:v>
                </c:pt>
                <c:pt idx="6">
                  <c:v>4777400</c:v>
                </c:pt>
                <c:pt idx="7">
                  <c:v>11840160</c:v>
                </c:pt>
                <c:pt idx="8">
                  <c:v>8600090</c:v>
                </c:pt>
                <c:pt idx="9">
                  <c:v>11711630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6-4208-AEF5-731FF3A2B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114607"/>
        <c:axId val="253510783"/>
      </c:barChart>
      <c:catAx>
        <c:axId val="28611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53510783"/>
        <c:crosses val="autoZero"/>
        <c:auto val="1"/>
        <c:lblAlgn val="ctr"/>
        <c:lblOffset val="100"/>
        <c:noMultiLvlLbl val="0"/>
      </c:catAx>
      <c:valAx>
        <c:axId val="25351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8611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[PreEntrega9_Podesta_Cristobal.xlsx]Analisis!TablaDinámica14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Analisis!$C$41:$C$42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Analisis!$B$43:$B$53</c:f>
              <c:strCache>
                <c:ptCount val="10"/>
                <c:pt idx="0">
                  <c:v>Producto A - Cemento</c:v>
                </c:pt>
                <c:pt idx="1">
                  <c:v>Producto B - Hierro 8mm</c:v>
                </c:pt>
                <c:pt idx="2">
                  <c:v>Producto C - Ladrillo Redal</c:v>
                </c:pt>
                <c:pt idx="3">
                  <c:v>Producto D - Pintura Latex 20L</c:v>
                </c:pt>
                <c:pt idx="4">
                  <c:v>Producto E - Placa Roca Yeso</c:v>
                </c:pt>
                <c:pt idx="5">
                  <c:v>Producto F - Arena x m3</c:v>
                </c:pt>
                <c:pt idx="6">
                  <c:v>Producto G - Caño PVC 110</c:v>
                </c:pt>
                <c:pt idx="7">
                  <c:v>Producto H - Cerámico 45x45</c:v>
                </c:pt>
                <c:pt idx="8">
                  <c:v>Producto I - Membrana 4mm</c:v>
                </c:pt>
                <c:pt idx="9">
                  <c:v>Producto J - Adhesivo Imp.</c:v>
                </c:pt>
              </c:strCache>
            </c:strRef>
          </c:cat>
          <c:val>
            <c:numRef>
              <c:f>Analisis!$C$43:$C$53</c:f>
              <c:numCache>
                <c:formatCode>#,##0</c:formatCode>
                <c:ptCount val="10"/>
                <c:pt idx="0">
                  <c:v>980</c:v>
                </c:pt>
                <c:pt idx="1">
                  <c:v>635</c:v>
                </c:pt>
                <c:pt idx="2">
                  <c:v>806</c:v>
                </c:pt>
                <c:pt idx="3">
                  <c:v>491</c:v>
                </c:pt>
                <c:pt idx="4">
                  <c:v>305</c:v>
                </c:pt>
                <c:pt idx="5">
                  <c:v>545</c:v>
                </c:pt>
                <c:pt idx="6">
                  <c:v>342</c:v>
                </c:pt>
                <c:pt idx="7">
                  <c:v>584</c:v>
                </c:pt>
                <c:pt idx="8">
                  <c:v>382</c:v>
                </c:pt>
                <c:pt idx="9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15-40C8-B4D7-6535FEB30EB4}"/>
            </c:ext>
          </c:extLst>
        </c:ser>
        <c:ser>
          <c:idx val="1"/>
          <c:order val="1"/>
          <c:tx>
            <c:strRef>
              <c:f>Analisis!$D$41:$D$42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Analisis!$B$43:$B$53</c:f>
              <c:strCache>
                <c:ptCount val="10"/>
                <c:pt idx="0">
                  <c:v>Producto A - Cemento</c:v>
                </c:pt>
                <c:pt idx="1">
                  <c:v>Producto B - Hierro 8mm</c:v>
                </c:pt>
                <c:pt idx="2">
                  <c:v>Producto C - Ladrillo Redal</c:v>
                </c:pt>
                <c:pt idx="3">
                  <c:v>Producto D - Pintura Latex 20L</c:v>
                </c:pt>
                <c:pt idx="4">
                  <c:v>Producto E - Placa Roca Yeso</c:v>
                </c:pt>
                <c:pt idx="5">
                  <c:v>Producto F - Arena x m3</c:v>
                </c:pt>
                <c:pt idx="6">
                  <c:v>Producto G - Caño PVC 110</c:v>
                </c:pt>
                <c:pt idx="7">
                  <c:v>Producto H - Cerámico 45x45</c:v>
                </c:pt>
                <c:pt idx="8">
                  <c:v>Producto I - Membrana 4mm</c:v>
                </c:pt>
                <c:pt idx="9">
                  <c:v>Producto J - Adhesivo Imp.</c:v>
                </c:pt>
              </c:strCache>
            </c:strRef>
          </c:cat>
          <c:val>
            <c:numRef>
              <c:f>Analisis!$D$43:$D$53</c:f>
              <c:numCache>
                <c:formatCode>#,##0</c:formatCode>
                <c:ptCount val="10"/>
                <c:pt idx="0">
                  <c:v>1131</c:v>
                </c:pt>
                <c:pt idx="1">
                  <c:v>550</c:v>
                </c:pt>
                <c:pt idx="2">
                  <c:v>721</c:v>
                </c:pt>
                <c:pt idx="3">
                  <c:v>657</c:v>
                </c:pt>
                <c:pt idx="4">
                  <c:v>665</c:v>
                </c:pt>
                <c:pt idx="5">
                  <c:v>975</c:v>
                </c:pt>
                <c:pt idx="6">
                  <c:v>600</c:v>
                </c:pt>
                <c:pt idx="7">
                  <c:v>638</c:v>
                </c:pt>
                <c:pt idx="8">
                  <c:v>359</c:v>
                </c:pt>
                <c:pt idx="9">
                  <c:v>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15-40C8-B4D7-6535FEB30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646247"/>
        <c:axId val="484638687"/>
      </c:lineChart>
      <c:catAx>
        <c:axId val="484646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84638687"/>
        <c:crosses val="autoZero"/>
        <c:auto val="1"/>
        <c:lblAlgn val="ctr"/>
        <c:lblOffset val="100"/>
        <c:noMultiLvlLbl val="0"/>
      </c:catAx>
      <c:valAx>
        <c:axId val="48463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84646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[PreEntrega9_Podesta_Cristobal.xlsx]Analisis!TablaDinámica15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Analisis!$C$60:$C$61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Analisis!$B$62:$B$72</c:f>
              <c:strCache>
                <c:ptCount val="10"/>
                <c:pt idx="0">
                  <c:v>Producto A - Cemento</c:v>
                </c:pt>
                <c:pt idx="1">
                  <c:v>Producto B - Hierro 8mm</c:v>
                </c:pt>
                <c:pt idx="2">
                  <c:v>Producto C - Ladrillo Redal</c:v>
                </c:pt>
                <c:pt idx="3">
                  <c:v>Producto D - Pintura Latex 20L</c:v>
                </c:pt>
                <c:pt idx="4">
                  <c:v>Producto E - Placa Roca Yeso</c:v>
                </c:pt>
                <c:pt idx="5">
                  <c:v>Producto F - Arena x m3</c:v>
                </c:pt>
                <c:pt idx="6">
                  <c:v>Producto G - Caño PVC 110</c:v>
                </c:pt>
                <c:pt idx="7">
                  <c:v>Producto H - Cerámico 45x45</c:v>
                </c:pt>
                <c:pt idx="8">
                  <c:v>Producto I - Membrana 4mm</c:v>
                </c:pt>
                <c:pt idx="9">
                  <c:v>Producto J - Adhesivo Imp.</c:v>
                </c:pt>
              </c:strCache>
            </c:strRef>
          </c:cat>
          <c:val>
            <c:numRef>
              <c:f>Analisis!$C$62:$C$72</c:f>
              <c:numCache>
                <c:formatCode>\$#,##0</c:formatCode>
                <c:ptCount val="10"/>
                <c:pt idx="0">
                  <c:v>5096000</c:v>
                </c:pt>
                <c:pt idx="1">
                  <c:v>7493000</c:v>
                </c:pt>
                <c:pt idx="2">
                  <c:v>153140</c:v>
                </c:pt>
                <c:pt idx="3">
                  <c:v>18658000</c:v>
                </c:pt>
                <c:pt idx="4">
                  <c:v>1921500</c:v>
                </c:pt>
                <c:pt idx="5">
                  <c:v>7739000</c:v>
                </c:pt>
                <c:pt idx="6">
                  <c:v>3591000</c:v>
                </c:pt>
                <c:pt idx="7">
                  <c:v>4730400</c:v>
                </c:pt>
                <c:pt idx="8">
                  <c:v>10314000</c:v>
                </c:pt>
                <c:pt idx="9">
                  <c:v>2073600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C-49EA-B0D2-CB67EC24D0B4}"/>
            </c:ext>
          </c:extLst>
        </c:ser>
        <c:ser>
          <c:idx val="1"/>
          <c:order val="1"/>
          <c:tx>
            <c:strRef>
              <c:f>Analisis!$D$60:$D$61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Analisis!$B$62:$B$72</c:f>
              <c:strCache>
                <c:ptCount val="10"/>
                <c:pt idx="0">
                  <c:v>Producto A - Cemento</c:v>
                </c:pt>
                <c:pt idx="1">
                  <c:v>Producto B - Hierro 8mm</c:v>
                </c:pt>
                <c:pt idx="2">
                  <c:v>Producto C - Ladrillo Redal</c:v>
                </c:pt>
                <c:pt idx="3">
                  <c:v>Producto D - Pintura Latex 20L</c:v>
                </c:pt>
                <c:pt idx="4">
                  <c:v>Producto E - Placa Roca Yeso</c:v>
                </c:pt>
                <c:pt idx="5">
                  <c:v>Producto F - Arena x m3</c:v>
                </c:pt>
                <c:pt idx="6">
                  <c:v>Producto G - Caño PVC 110</c:v>
                </c:pt>
                <c:pt idx="7">
                  <c:v>Producto H - Cerámico 45x45</c:v>
                </c:pt>
                <c:pt idx="8">
                  <c:v>Producto I - Membrana 4mm</c:v>
                </c:pt>
                <c:pt idx="9">
                  <c:v>Producto J - Adhesivo Imp.</c:v>
                </c:pt>
              </c:strCache>
            </c:strRef>
          </c:cat>
          <c:val>
            <c:numRef>
              <c:f>Analisis!$D$62:$D$72</c:f>
              <c:numCache>
                <c:formatCode>\$#,##0</c:formatCode>
                <c:ptCount val="10"/>
                <c:pt idx="0">
                  <c:v>5881200</c:v>
                </c:pt>
                <c:pt idx="1">
                  <c:v>6490000</c:v>
                </c:pt>
                <c:pt idx="2">
                  <c:v>136990</c:v>
                </c:pt>
                <c:pt idx="3">
                  <c:v>24966000</c:v>
                </c:pt>
                <c:pt idx="4">
                  <c:v>4189500</c:v>
                </c:pt>
                <c:pt idx="5">
                  <c:v>13845000</c:v>
                </c:pt>
                <c:pt idx="6">
                  <c:v>6300000</c:v>
                </c:pt>
                <c:pt idx="7">
                  <c:v>5167800</c:v>
                </c:pt>
                <c:pt idx="8">
                  <c:v>9693000</c:v>
                </c:pt>
                <c:pt idx="9">
                  <c:v>7689600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4C-49EA-B0D2-CB67EC24D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008991"/>
        <c:axId val="251010071"/>
      </c:barChart>
      <c:catAx>
        <c:axId val="25100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51010071"/>
        <c:crosses val="autoZero"/>
        <c:auto val="1"/>
        <c:lblAlgn val="ctr"/>
        <c:lblOffset val="100"/>
        <c:noMultiLvlLbl val="0"/>
      </c:catAx>
      <c:valAx>
        <c:axId val="251010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5100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188152</xdr:colOff>
      <xdr:row>14</xdr:row>
      <xdr:rowOff>121782</xdr:rowOff>
    </xdr:from>
    <xdr:to>
      <xdr:col>7</xdr:col>
      <xdr:colOff>600205</xdr:colOff>
      <xdr:row>29</xdr:row>
      <xdr:rowOff>108647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86224A-D002-4894-A237-2508A001B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599683</xdr:colOff>
      <xdr:row>14</xdr:row>
      <xdr:rowOff>104384</xdr:rowOff>
    </xdr:from>
    <xdr:to>
      <xdr:col>16</xdr:col>
      <xdr:colOff>17397</xdr:colOff>
      <xdr:row>29</xdr:row>
      <xdr:rowOff>90552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61CDDD-494A-47B2-9E32-2F299C687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214247</xdr:colOff>
      <xdr:row>35</xdr:row>
      <xdr:rowOff>121781</xdr:rowOff>
    </xdr:from>
    <xdr:to>
      <xdr:col>7</xdr:col>
      <xdr:colOff>600205</xdr:colOff>
      <xdr:row>50</xdr:row>
      <xdr:rowOff>90292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D14B4A6-2487-48B3-9101-A3ACBC99C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54019</xdr:colOff>
      <xdr:row>35</xdr:row>
      <xdr:rowOff>130480</xdr:rowOff>
    </xdr:from>
    <xdr:to>
      <xdr:col>17</xdr:col>
      <xdr:colOff>17398</xdr:colOff>
      <xdr:row>50</xdr:row>
      <xdr:rowOff>98294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624CB1A-DB78-49E6-823F-2E9C55670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87.793056365743" createdVersion="8" refreshedVersion="8" minRefreshableVersion="3" recordCount="200" xr:uid="{9514DB15-5DE4-42DD-823A-A1D580E20BA7}">
  <cacheSource type="worksheet">
    <worksheetSource name="Tabla1"/>
  </cacheSource>
  <cacheFields count="14">
    <cacheField name="ID Venta" numFmtId="0">
      <sharedItems/>
    </cacheField>
    <cacheField name="Fecha" numFmtId="166">
      <sharedItems containsSemiMixedTypes="0" containsNonDate="0" containsDate="1" containsString="0" minDate="2024-01-16T00:00:00" maxDate="2025-12-18T00:00:00" count="172">
        <d v="2024-01-16T00:00:00"/>
        <d v="2024-01-19T00:00:00"/>
        <d v="2024-01-28T00:00:00"/>
        <d v="2024-01-29T00:00:00"/>
        <d v="2024-02-04T00:00:00"/>
        <d v="2024-02-05T00:00:00"/>
        <d v="2024-02-11T00:00:00"/>
        <d v="2024-02-16T00:00:00"/>
        <d v="2024-02-18T00:00:00"/>
        <d v="2024-02-19T00:00:00"/>
        <d v="2024-02-24T00:00:00"/>
        <d v="2024-03-02T00:00:00"/>
        <d v="2024-03-07T00:00:00"/>
        <d v="2024-03-13T00:00:00"/>
        <d v="2024-03-17T00:00:00"/>
        <d v="2024-03-19T00:00:00"/>
        <d v="2024-03-26T00:00:00"/>
        <d v="2024-04-04T00:00:00"/>
        <d v="2024-04-09T00:00:00"/>
        <d v="2024-04-11T00:00:00"/>
        <d v="2024-04-15T00:00:00"/>
        <d v="2024-04-19T00:00:00"/>
        <d v="2024-04-22T00:00:00"/>
        <d v="2024-04-23T00:00:00"/>
        <d v="2024-04-26T00:00:00"/>
        <d v="2024-04-29T00:00:00"/>
        <d v="2024-04-30T00:00:00"/>
        <d v="2024-05-06T00:00:00"/>
        <d v="2024-05-15T00:00:00"/>
        <d v="2024-05-22T00:00:00"/>
        <d v="2024-05-24T00:00:00"/>
        <d v="2024-05-28T00:00:00"/>
        <d v="2024-06-01T00:00:00"/>
        <d v="2024-06-19T00:00:00"/>
        <d v="2024-06-22T00:00:00"/>
        <d v="2024-06-23T00:00:00"/>
        <d v="2024-06-24T00:00:00"/>
        <d v="2024-06-29T00:00:00"/>
        <d v="2024-07-03T00:00:00"/>
        <d v="2024-07-20T00:00:00"/>
        <d v="2024-07-22T00:00:00"/>
        <d v="2024-07-24T00:00:00"/>
        <d v="2024-08-02T00:00:00"/>
        <d v="2024-08-03T00:00:00"/>
        <d v="2024-08-07T00:00:00"/>
        <d v="2024-08-08T00:00:00"/>
        <d v="2024-08-16T00:00:00"/>
        <d v="2024-08-18T00:00:00"/>
        <d v="2024-08-19T00:00:00"/>
        <d v="2024-08-26T00:00:00"/>
        <d v="2024-09-01T00:00:00"/>
        <d v="2024-09-03T00:00:00"/>
        <d v="2024-09-04T00:00:00"/>
        <d v="2024-09-11T00:00:00"/>
        <d v="2024-09-12T00:00:00"/>
        <d v="2024-09-13T00:00:00"/>
        <d v="2024-09-14T00:00:00"/>
        <d v="2024-09-22T00:00:00"/>
        <d v="2024-09-23T00:00:00"/>
        <d v="2024-09-29T00:00:00"/>
        <d v="2024-10-08T00:00:00"/>
        <d v="2024-10-10T00:00:00"/>
        <d v="2024-10-11T00:00:00"/>
        <d v="2024-10-14T00:00:00"/>
        <d v="2024-10-17T00:00:00"/>
        <d v="2024-10-23T00:00:00"/>
        <d v="2024-10-29T00:00:00"/>
        <d v="2024-11-05T00:00:00"/>
        <d v="2024-11-18T00:00:00"/>
        <d v="2024-11-23T00:00:00"/>
        <d v="2024-11-25T00:00:00"/>
        <d v="2024-11-27T00:00:00"/>
        <d v="2024-12-10T00:00:00"/>
        <d v="2024-12-17T00:00:00"/>
        <d v="2024-12-19T00:00:00"/>
        <d v="2024-12-23T00:00:00"/>
        <d v="2024-12-25T00:00:00"/>
        <d v="2024-12-27T00:00:00"/>
        <d v="2025-01-07T00:00:00"/>
        <d v="2025-01-15T00:00:00"/>
        <d v="2025-01-21T00:00:00"/>
        <d v="2025-01-22T00:00:00"/>
        <d v="2025-01-25T00:00:00"/>
        <d v="2025-01-27T00:00:00"/>
        <d v="2025-01-28T00:00:00"/>
        <d v="2025-02-02T00:00:00"/>
        <d v="2025-02-03T00:00:00"/>
        <d v="2025-02-04T00:00:00"/>
        <d v="2025-02-05T00:00:00"/>
        <d v="2025-02-07T00:00:00"/>
        <d v="2025-02-09T00:00:00"/>
        <d v="2025-02-10T00:00:00"/>
        <d v="2025-02-15T00:00:00"/>
        <d v="2025-02-19T00:00:00"/>
        <d v="2025-02-24T00:00:00"/>
        <d v="2025-02-28T00:00:00"/>
        <d v="2025-03-03T00:00:00"/>
        <d v="2025-03-08T00:00:00"/>
        <d v="2025-03-17T00:00:00"/>
        <d v="2025-03-25T00:00:00"/>
        <d v="2025-03-31T00:00:00"/>
        <d v="2025-04-13T00:00:00"/>
        <d v="2025-04-14T00:00:00"/>
        <d v="2025-04-17T00:00:00"/>
        <d v="2025-04-18T00:00:00"/>
        <d v="2025-04-19T00:00:00"/>
        <d v="2025-04-20T00:00:00"/>
        <d v="2025-04-25T00:00:00"/>
        <d v="2025-04-30T00:00:00"/>
        <d v="2025-05-01T00:00:00"/>
        <d v="2025-05-03T00:00:00"/>
        <d v="2025-05-04T00:00:00"/>
        <d v="2025-05-05T00:00:00"/>
        <d v="2025-05-13T00:00:00"/>
        <d v="2025-05-18T00:00:00"/>
        <d v="2025-05-20T00:00:00"/>
        <d v="2025-05-21T00:00:00"/>
        <d v="2025-05-25T00:00:00"/>
        <d v="2025-05-27T00:00:00"/>
        <d v="2025-05-31T00:00:00"/>
        <d v="2025-06-02T00:00:00"/>
        <d v="2025-06-03T00:00:00"/>
        <d v="2025-06-06T00:00:00"/>
        <d v="2025-06-07T00:00:00"/>
        <d v="2025-06-08T00:00:00"/>
        <d v="2025-06-18T00:00:00"/>
        <d v="2025-06-22T00:00:00"/>
        <d v="2025-07-08T00:00:00"/>
        <d v="2025-07-14T00:00:00"/>
        <d v="2025-07-21T00:00:00"/>
        <d v="2025-07-23T00:00:00"/>
        <d v="2025-07-24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10T00:00:00"/>
        <d v="2025-08-11T00:00:00"/>
        <d v="2025-08-14T00:00:00"/>
        <d v="2025-08-29T00:00:00"/>
        <d v="2025-09-06T00:00:00"/>
        <d v="2025-09-13T00:00:00"/>
        <d v="2025-09-18T00:00:00"/>
        <d v="2025-09-20T00:00:00"/>
        <d v="2025-09-25T00:00:00"/>
        <d v="2025-10-03T00:00:00"/>
        <d v="2025-10-08T00:00:00"/>
        <d v="2025-10-15T00:00:00"/>
        <d v="2025-10-18T00:00:00"/>
        <d v="2025-10-21T00:00:00"/>
        <d v="2025-10-22T00:00:00"/>
        <d v="2025-10-23T00:00:00"/>
        <d v="2025-10-24T00:00:00"/>
        <d v="2025-10-30T00:00:00"/>
        <d v="2025-11-06T00:00:00"/>
        <d v="2025-11-08T00:00:00"/>
        <d v="2025-11-16T00:00:00"/>
        <d v="2025-11-19T00:00:00"/>
        <d v="2025-11-21T00:00:00"/>
        <d v="2025-11-26T00:00:00"/>
        <d v="2025-11-28T00:00:00"/>
        <d v="2025-12-01T00:00:00"/>
        <d v="2025-12-05T00:00:00"/>
        <d v="2025-12-06T00:00:00"/>
        <d v="2025-12-13T00:00:00"/>
        <d v="2025-12-14T00:00:00"/>
        <d v="2025-12-15T00:00:00"/>
        <d v="2025-12-16T00:00:00"/>
        <d v="2025-12-17T00:00:00"/>
      </sharedItems>
      <fieldGroup par="13"/>
    </cacheField>
    <cacheField name="Cliente" numFmtId="0">
      <sharedItems count="10">
        <s v="Hormigones Mendoza"/>
        <s v="Obras &amp; Diseños SRL"/>
        <s v="Inmobiliaria del Valle"/>
        <s v="Estudio M&amp;N Arquitectos"/>
        <s v="Desarrollos Vistalba"/>
        <s v="Proyectos Sustentables SA"/>
        <s v="Constructora Cuyo S.A."/>
        <s v="Arq. Gabriel Torres"/>
        <s v="Constructora del Oeste"/>
        <s v="Ingeniería &amp; Proyectos"/>
      </sharedItems>
    </cacheField>
    <cacheField name="Producto" numFmtId="0">
      <sharedItems count="10">
        <s v="Producto E - Placa Roca Yeso"/>
        <s v="Producto A - Cemento"/>
        <s v="Producto H - Cerámico 45x45"/>
        <s v="Producto B - Hierro 8mm"/>
        <s v="Producto F - Arena x m3"/>
        <s v="Producto G - Caño PVC 110"/>
        <s v="Producto C - Ladrillo Redal"/>
        <s v="Producto J - Adhesivo Imp."/>
        <s v="Producto D - Pintura Latex 20L"/>
        <s v="Producto I - Membrana 4mm"/>
      </sharedItems>
    </cacheField>
    <cacheField name="Cantidad" numFmtId="3">
      <sharedItems containsSemiMixedTypes="0" containsString="0" containsNumber="1" containsInteger="1" minValue="5" maxValue="119"/>
    </cacheField>
    <cacheField name="Costo Unitario" numFmtId="164">
      <sharedItems containsSemiMixedTypes="0" containsString="0" containsNumber="1" containsInteger="1" minValue="120" maxValue="25000"/>
    </cacheField>
    <cacheField name="Precio Unitario" numFmtId="164">
      <sharedItems containsSemiMixedTypes="0" containsString="0" containsNumber="1" containsInteger="1" minValue="190" maxValue="38000"/>
    </cacheField>
    <cacheField name="Costo Total" numFmtId="164">
      <sharedItems containsSemiMixedTypes="0" containsString="0" containsNumber="1" containsInteger="1" minValue="1200" maxValue="2950000"/>
    </cacheField>
    <cacheField name="Venta Total" numFmtId="164">
      <sharedItems containsSemiMixedTypes="0" containsString="0" containsNumber="1" containsInteger="1" minValue="1900" maxValue="4484000"/>
    </cacheField>
    <cacheField name="Ganancia Bruta" numFmtId="164">
      <sharedItems containsSemiMixedTypes="0" containsString="0" containsNumber="1" containsInteger="1" minValue="700" maxValue="1534000"/>
    </cacheField>
    <cacheField name="Margen %" numFmtId="165">
      <sharedItems containsSemiMixedTypes="0" containsString="0" containsNumber="1" minValue="0.30508474576271188" maxValue="0.36842105263157893"/>
    </cacheField>
    <cacheField name="Meses (Fecha)" numFmtId="0" databaseField="0">
      <fieldGroup base="1">
        <rangePr groupBy="months" startDate="2024-01-16T00:00:00" endDate="2025-12-18T00:00:00"/>
        <groupItems count="14">
          <s v="&lt;16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8/12/2025"/>
        </groupItems>
      </fieldGroup>
    </cacheField>
    <cacheField name="Trimestres (Fecha)" numFmtId="0" databaseField="0">
      <fieldGroup base="1">
        <rangePr groupBy="quarters" startDate="2024-01-16T00:00:00" endDate="2025-12-18T00:00:00"/>
        <groupItems count="6">
          <s v="&lt;16/01/2024"/>
          <s v="Trim.1"/>
          <s v="Trim.2"/>
          <s v="Trim.3"/>
          <s v="Trim.4"/>
          <s v="&gt;18/12/2025"/>
        </groupItems>
      </fieldGroup>
    </cacheField>
    <cacheField name="Años (Fecha)" numFmtId="0" databaseField="0">
      <fieldGroup base="1">
        <rangePr groupBy="years" startDate="2024-01-16T00:00:00" endDate="2025-12-18T00:00:00"/>
        <groupItems count="4">
          <s v="&lt;16/01/2024"/>
          <s v="2024"/>
          <s v="2025"/>
          <s v="&gt;18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VEN-1001"/>
    <x v="0"/>
    <x v="0"/>
    <x v="0"/>
    <n v="24"/>
    <n v="4100"/>
    <n v="6300"/>
    <n v="98400"/>
    <n v="151200"/>
    <n v="52800"/>
    <n v="0.34920634920634919"/>
  </r>
  <r>
    <s v="VEN-1002"/>
    <x v="1"/>
    <x v="1"/>
    <x v="1"/>
    <n v="96"/>
    <n v="3500"/>
    <n v="5200"/>
    <n v="336000"/>
    <n v="499200"/>
    <n v="163200"/>
    <n v="0.32692307692307693"/>
  </r>
  <r>
    <s v="VEN-1003"/>
    <x v="2"/>
    <x v="2"/>
    <x v="2"/>
    <n v="76"/>
    <n v="5400"/>
    <n v="8100"/>
    <n v="410400"/>
    <n v="615600"/>
    <n v="205200"/>
    <n v="0.33333333333333331"/>
  </r>
  <r>
    <s v="VEN-1004"/>
    <x v="3"/>
    <x v="3"/>
    <x v="1"/>
    <n v="65"/>
    <n v="3500"/>
    <n v="5200"/>
    <n v="227500"/>
    <n v="338000"/>
    <n v="110500"/>
    <n v="0.32692307692307693"/>
  </r>
  <r>
    <s v="VEN-1005"/>
    <x v="3"/>
    <x v="0"/>
    <x v="1"/>
    <n v="109"/>
    <n v="3500"/>
    <n v="5200"/>
    <n v="381500"/>
    <n v="566800"/>
    <n v="185300"/>
    <n v="0.32692307692307693"/>
  </r>
  <r>
    <s v="VEN-1006"/>
    <x v="4"/>
    <x v="4"/>
    <x v="3"/>
    <n v="43"/>
    <n v="8200"/>
    <n v="11800"/>
    <n v="352600"/>
    <n v="507400"/>
    <n v="154800"/>
    <n v="0.30508474576271188"/>
  </r>
  <r>
    <s v="VEN-1007"/>
    <x v="4"/>
    <x v="5"/>
    <x v="3"/>
    <n v="5"/>
    <n v="8200"/>
    <n v="11800"/>
    <n v="41000"/>
    <n v="59000"/>
    <n v="18000"/>
    <n v="0.30508474576271188"/>
  </r>
  <r>
    <s v="VEN-1008"/>
    <x v="5"/>
    <x v="1"/>
    <x v="4"/>
    <n v="7"/>
    <n v="9500"/>
    <n v="14200"/>
    <n v="66500"/>
    <n v="99400"/>
    <n v="32900"/>
    <n v="0.33098591549295775"/>
  </r>
  <r>
    <s v="VEN-1009"/>
    <x v="6"/>
    <x v="6"/>
    <x v="5"/>
    <n v="81"/>
    <n v="6800"/>
    <n v="10500"/>
    <n v="550800"/>
    <n v="850500"/>
    <n v="299700"/>
    <n v="0.35238095238095241"/>
  </r>
  <r>
    <s v="VEN-1010"/>
    <x v="6"/>
    <x v="3"/>
    <x v="0"/>
    <n v="96"/>
    <n v="4100"/>
    <n v="6300"/>
    <n v="393600"/>
    <n v="604800"/>
    <n v="211200"/>
    <n v="0.34920634920634919"/>
  </r>
  <r>
    <s v="VEN-1011"/>
    <x v="7"/>
    <x v="1"/>
    <x v="1"/>
    <n v="66"/>
    <n v="3500"/>
    <n v="5200"/>
    <n v="231000"/>
    <n v="343200"/>
    <n v="112200"/>
    <n v="0.32692307692307693"/>
  </r>
  <r>
    <s v="VEN-1012"/>
    <x v="8"/>
    <x v="5"/>
    <x v="1"/>
    <n v="67"/>
    <n v="3500"/>
    <n v="5200"/>
    <n v="234500"/>
    <n v="348400"/>
    <n v="113900"/>
    <n v="0.32692307692307693"/>
  </r>
  <r>
    <s v="VEN-1013"/>
    <x v="9"/>
    <x v="2"/>
    <x v="6"/>
    <n v="117"/>
    <n v="120"/>
    <n v="190"/>
    <n v="14040"/>
    <n v="22230"/>
    <n v="8190"/>
    <n v="0.36842105263157893"/>
  </r>
  <r>
    <s v="VEN-1014"/>
    <x v="10"/>
    <x v="5"/>
    <x v="3"/>
    <n v="29"/>
    <n v="8200"/>
    <n v="11800"/>
    <n v="237800"/>
    <n v="342200"/>
    <n v="104400"/>
    <n v="0.30508474576271188"/>
  </r>
  <r>
    <s v="VEN-1015"/>
    <x v="10"/>
    <x v="7"/>
    <x v="0"/>
    <n v="60"/>
    <n v="4100"/>
    <n v="6300"/>
    <n v="246000"/>
    <n v="378000"/>
    <n v="132000"/>
    <n v="0.34920634920634919"/>
  </r>
  <r>
    <s v="VEN-1016"/>
    <x v="11"/>
    <x v="5"/>
    <x v="7"/>
    <n v="37"/>
    <n v="7200"/>
    <n v="10800"/>
    <n v="266400"/>
    <n v="399600"/>
    <n v="133200"/>
    <n v="0.33333333333333331"/>
  </r>
  <r>
    <s v="VEN-1017"/>
    <x v="12"/>
    <x v="7"/>
    <x v="4"/>
    <n v="42"/>
    <n v="9500"/>
    <n v="14200"/>
    <n v="399000"/>
    <n v="596400"/>
    <n v="197400"/>
    <n v="0.33098591549295775"/>
  </r>
  <r>
    <s v="VEN-1018"/>
    <x v="13"/>
    <x v="2"/>
    <x v="5"/>
    <n v="10"/>
    <n v="6800"/>
    <n v="10500"/>
    <n v="68000"/>
    <n v="105000"/>
    <n v="37000"/>
    <n v="0.35238095238095241"/>
  </r>
  <r>
    <s v="VEN-1019"/>
    <x v="14"/>
    <x v="8"/>
    <x v="8"/>
    <n v="62"/>
    <n v="25000"/>
    <n v="38000"/>
    <n v="1550000"/>
    <n v="2356000"/>
    <n v="806000"/>
    <n v="0.34210526315789475"/>
  </r>
  <r>
    <s v="VEN-1020"/>
    <x v="15"/>
    <x v="7"/>
    <x v="5"/>
    <n v="48"/>
    <n v="6800"/>
    <n v="10500"/>
    <n v="326400"/>
    <n v="504000"/>
    <n v="177600"/>
    <n v="0.35238095238095241"/>
  </r>
  <r>
    <s v="VEN-1021"/>
    <x v="16"/>
    <x v="6"/>
    <x v="2"/>
    <n v="49"/>
    <n v="5400"/>
    <n v="8100"/>
    <n v="264600"/>
    <n v="396900"/>
    <n v="132300"/>
    <n v="0.33333333333333331"/>
  </r>
  <r>
    <s v="VEN-1022"/>
    <x v="17"/>
    <x v="5"/>
    <x v="1"/>
    <n v="36"/>
    <n v="3500"/>
    <n v="5200"/>
    <n v="126000"/>
    <n v="187200"/>
    <n v="61200"/>
    <n v="0.32692307692307693"/>
  </r>
  <r>
    <s v="VEN-1023"/>
    <x v="18"/>
    <x v="5"/>
    <x v="4"/>
    <n v="49"/>
    <n v="9500"/>
    <n v="14200"/>
    <n v="465500"/>
    <n v="695800"/>
    <n v="230300"/>
    <n v="0.33098591549295775"/>
  </r>
  <r>
    <s v="VEN-1024"/>
    <x v="19"/>
    <x v="6"/>
    <x v="2"/>
    <n v="65"/>
    <n v="5400"/>
    <n v="8100"/>
    <n v="351000"/>
    <n v="526500"/>
    <n v="175500"/>
    <n v="0.33333333333333331"/>
  </r>
  <r>
    <s v="VEN-1025"/>
    <x v="20"/>
    <x v="4"/>
    <x v="0"/>
    <n v="51"/>
    <n v="4100"/>
    <n v="6300"/>
    <n v="209100"/>
    <n v="321300"/>
    <n v="112200"/>
    <n v="0.34920634920634919"/>
  </r>
  <r>
    <s v="VEN-1026"/>
    <x v="21"/>
    <x v="9"/>
    <x v="8"/>
    <n v="25"/>
    <n v="25000"/>
    <n v="38000"/>
    <n v="625000"/>
    <n v="950000"/>
    <n v="325000"/>
    <n v="0.34210526315789475"/>
  </r>
  <r>
    <s v="VEN-1027"/>
    <x v="22"/>
    <x v="8"/>
    <x v="3"/>
    <n v="84"/>
    <n v="8200"/>
    <n v="11800"/>
    <n v="688800"/>
    <n v="991200"/>
    <n v="302400"/>
    <n v="0.30508474576271188"/>
  </r>
  <r>
    <s v="VEN-1028"/>
    <x v="23"/>
    <x v="3"/>
    <x v="4"/>
    <n v="89"/>
    <n v="9500"/>
    <n v="14200"/>
    <n v="845500"/>
    <n v="1263800"/>
    <n v="418300"/>
    <n v="0.33098591549295775"/>
  </r>
  <r>
    <s v="VEN-1029"/>
    <x v="24"/>
    <x v="7"/>
    <x v="4"/>
    <n v="79"/>
    <n v="9500"/>
    <n v="14200"/>
    <n v="750500"/>
    <n v="1121800"/>
    <n v="371300"/>
    <n v="0.33098591549295775"/>
  </r>
  <r>
    <s v="VEN-1030"/>
    <x v="25"/>
    <x v="6"/>
    <x v="1"/>
    <n v="105"/>
    <n v="3500"/>
    <n v="5200"/>
    <n v="367500"/>
    <n v="546000"/>
    <n v="178500"/>
    <n v="0.32692307692307693"/>
  </r>
  <r>
    <s v="VEN-1031"/>
    <x v="26"/>
    <x v="2"/>
    <x v="9"/>
    <n v="40"/>
    <n v="18500"/>
    <n v="27000"/>
    <n v="740000"/>
    <n v="1080000"/>
    <n v="340000"/>
    <n v="0.31481481481481483"/>
  </r>
  <r>
    <s v="VEN-1032"/>
    <x v="27"/>
    <x v="7"/>
    <x v="4"/>
    <n v="103"/>
    <n v="9500"/>
    <n v="14200"/>
    <n v="978500"/>
    <n v="1462600"/>
    <n v="484100"/>
    <n v="0.33098591549295775"/>
  </r>
  <r>
    <s v="VEN-1033"/>
    <x v="27"/>
    <x v="9"/>
    <x v="6"/>
    <n v="23"/>
    <n v="120"/>
    <n v="190"/>
    <n v="2760"/>
    <n v="4370"/>
    <n v="1610"/>
    <n v="0.36842105263157893"/>
  </r>
  <r>
    <s v="VEN-1034"/>
    <x v="28"/>
    <x v="2"/>
    <x v="8"/>
    <n v="24"/>
    <n v="25000"/>
    <n v="38000"/>
    <n v="600000"/>
    <n v="912000"/>
    <n v="312000"/>
    <n v="0.34210526315789475"/>
  </r>
  <r>
    <s v="VEN-1035"/>
    <x v="29"/>
    <x v="1"/>
    <x v="8"/>
    <n v="61"/>
    <n v="25000"/>
    <n v="38000"/>
    <n v="1525000"/>
    <n v="2318000"/>
    <n v="793000"/>
    <n v="0.34210526315789475"/>
  </r>
  <r>
    <s v="VEN-1036"/>
    <x v="30"/>
    <x v="5"/>
    <x v="6"/>
    <n v="22"/>
    <n v="120"/>
    <n v="190"/>
    <n v="2640"/>
    <n v="4180"/>
    <n v="1540"/>
    <n v="0.36842105263157893"/>
  </r>
  <r>
    <s v="VEN-1037"/>
    <x v="30"/>
    <x v="1"/>
    <x v="7"/>
    <n v="51"/>
    <n v="7200"/>
    <n v="10800"/>
    <n v="367200"/>
    <n v="550800"/>
    <n v="183600"/>
    <n v="0.33333333333333331"/>
  </r>
  <r>
    <s v="VEN-1038"/>
    <x v="31"/>
    <x v="7"/>
    <x v="6"/>
    <n v="109"/>
    <n v="120"/>
    <n v="190"/>
    <n v="13080"/>
    <n v="20710"/>
    <n v="7630"/>
    <n v="0.36842105263157893"/>
  </r>
  <r>
    <s v="VEN-1039"/>
    <x v="32"/>
    <x v="9"/>
    <x v="6"/>
    <n v="53"/>
    <n v="120"/>
    <n v="190"/>
    <n v="6360"/>
    <n v="10070"/>
    <n v="3710"/>
    <n v="0.36842105263157893"/>
  </r>
  <r>
    <s v="VEN-1040"/>
    <x v="33"/>
    <x v="8"/>
    <x v="8"/>
    <n v="18"/>
    <n v="25000"/>
    <n v="38000"/>
    <n v="450000"/>
    <n v="684000"/>
    <n v="234000"/>
    <n v="0.34210526315789475"/>
  </r>
  <r>
    <s v="VEN-1041"/>
    <x v="34"/>
    <x v="7"/>
    <x v="5"/>
    <n v="19"/>
    <n v="6800"/>
    <n v="10500"/>
    <n v="129200"/>
    <n v="199500"/>
    <n v="70300"/>
    <n v="0.35238095238095241"/>
  </r>
  <r>
    <s v="VEN-1042"/>
    <x v="35"/>
    <x v="6"/>
    <x v="8"/>
    <n v="35"/>
    <n v="25000"/>
    <n v="38000"/>
    <n v="875000"/>
    <n v="1330000"/>
    <n v="455000"/>
    <n v="0.34210526315789475"/>
  </r>
  <r>
    <s v="VEN-1043"/>
    <x v="36"/>
    <x v="0"/>
    <x v="9"/>
    <n v="5"/>
    <n v="18500"/>
    <n v="27000"/>
    <n v="92500"/>
    <n v="135000"/>
    <n v="42500"/>
    <n v="0.31481481481481483"/>
  </r>
  <r>
    <s v="VEN-1044"/>
    <x v="37"/>
    <x v="7"/>
    <x v="1"/>
    <n v="58"/>
    <n v="3500"/>
    <n v="5200"/>
    <n v="203000"/>
    <n v="301600"/>
    <n v="98600"/>
    <n v="0.32692307692307693"/>
  </r>
  <r>
    <s v="VEN-1045"/>
    <x v="38"/>
    <x v="5"/>
    <x v="2"/>
    <n v="7"/>
    <n v="5400"/>
    <n v="8100"/>
    <n v="37800"/>
    <n v="56700"/>
    <n v="18900"/>
    <n v="0.33333333333333331"/>
  </r>
  <r>
    <s v="VEN-1046"/>
    <x v="39"/>
    <x v="5"/>
    <x v="5"/>
    <n v="20"/>
    <n v="6800"/>
    <n v="10500"/>
    <n v="136000"/>
    <n v="210000"/>
    <n v="74000"/>
    <n v="0.35238095238095241"/>
  </r>
  <r>
    <s v="VEN-1047"/>
    <x v="40"/>
    <x v="7"/>
    <x v="3"/>
    <n v="91"/>
    <n v="8200"/>
    <n v="11800"/>
    <n v="746200"/>
    <n v="1073800"/>
    <n v="327600"/>
    <n v="0.30508474576271188"/>
  </r>
  <r>
    <s v="VEN-1048"/>
    <x v="40"/>
    <x v="2"/>
    <x v="2"/>
    <n v="61"/>
    <n v="5400"/>
    <n v="8100"/>
    <n v="329400"/>
    <n v="494100"/>
    <n v="164700"/>
    <n v="0.33333333333333331"/>
  </r>
  <r>
    <s v="VEN-1049"/>
    <x v="41"/>
    <x v="0"/>
    <x v="1"/>
    <n v="79"/>
    <n v="3500"/>
    <n v="5200"/>
    <n v="276500"/>
    <n v="410800"/>
    <n v="134300"/>
    <n v="0.32692307692307693"/>
  </r>
  <r>
    <s v="VEN-1050"/>
    <x v="42"/>
    <x v="6"/>
    <x v="9"/>
    <n v="16"/>
    <n v="18500"/>
    <n v="27000"/>
    <n v="296000"/>
    <n v="432000"/>
    <n v="136000"/>
    <n v="0.31481481481481483"/>
  </r>
  <r>
    <s v="VEN-1051"/>
    <x v="43"/>
    <x v="7"/>
    <x v="9"/>
    <n v="78"/>
    <n v="18500"/>
    <n v="27000"/>
    <n v="1443000"/>
    <n v="2106000"/>
    <n v="663000"/>
    <n v="0.31481481481481483"/>
  </r>
  <r>
    <s v="VEN-1052"/>
    <x v="44"/>
    <x v="2"/>
    <x v="3"/>
    <n v="100"/>
    <n v="8200"/>
    <n v="11800"/>
    <n v="820000"/>
    <n v="1180000"/>
    <n v="360000"/>
    <n v="0.30508474576271188"/>
  </r>
  <r>
    <s v="VEN-1053"/>
    <x v="45"/>
    <x v="5"/>
    <x v="5"/>
    <n v="20"/>
    <n v="6800"/>
    <n v="10500"/>
    <n v="136000"/>
    <n v="210000"/>
    <n v="74000"/>
    <n v="0.35238095238095241"/>
  </r>
  <r>
    <s v="VEN-1054"/>
    <x v="46"/>
    <x v="5"/>
    <x v="7"/>
    <n v="76"/>
    <n v="7200"/>
    <n v="10800"/>
    <n v="547200"/>
    <n v="820800"/>
    <n v="273600"/>
    <n v="0.33333333333333331"/>
  </r>
  <r>
    <s v="VEN-1055"/>
    <x v="47"/>
    <x v="9"/>
    <x v="6"/>
    <n v="106"/>
    <n v="120"/>
    <n v="190"/>
    <n v="12720"/>
    <n v="20140"/>
    <n v="7420"/>
    <n v="0.36842105263157893"/>
  </r>
  <r>
    <s v="VEN-1056"/>
    <x v="48"/>
    <x v="7"/>
    <x v="5"/>
    <n v="80"/>
    <n v="6800"/>
    <n v="10500"/>
    <n v="544000"/>
    <n v="840000"/>
    <n v="296000"/>
    <n v="0.35238095238095241"/>
  </r>
  <r>
    <s v="VEN-1057"/>
    <x v="49"/>
    <x v="0"/>
    <x v="7"/>
    <n v="28"/>
    <n v="7200"/>
    <n v="10800"/>
    <n v="201600"/>
    <n v="302400"/>
    <n v="100800"/>
    <n v="0.33333333333333331"/>
  </r>
  <r>
    <s v="VEN-1058"/>
    <x v="49"/>
    <x v="4"/>
    <x v="9"/>
    <n v="32"/>
    <n v="18500"/>
    <n v="27000"/>
    <n v="592000"/>
    <n v="864000"/>
    <n v="272000"/>
    <n v="0.31481481481481483"/>
  </r>
  <r>
    <s v="VEN-1059"/>
    <x v="50"/>
    <x v="0"/>
    <x v="8"/>
    <n v="12"/>
    <n v="25000"/>
    <n v="38000"/>
    <n v="300000"/>
    <n v="456000"/>
    <n v="156000"/>
    <n v="0.34210526315789475"/>
  </r>
  <r>
    <s v="VEN-1060"/>
    <x v="50"/>
    <x v="5"/>
    <x v="1"/>
    <n v="96"/>
    <n v="3500"/>
    <n v="5200"/>
    <n v="336000"/>
    <n v="499200"/>
    <n v="163200"/>
    <n v="0.32692307692307693"/>
  </r>
  <r>
    <s v="VEN-1061"/>
    <x v="50"/>
    <x v="5"/>
    <x v="3"/>
    <n v="40"/>
    <n v="8200"/>
    <n v="11800"/>
    <n v="328000"/>
    <n v="472000"/>
    <n v="144000"/>
    <n v="0.30508474576271188"/>
  </r>
  <r>
    <s v="VEN-1062"/>
    <x v="51"/>
    <x v="1"/>
    <x v="1"/>
    <n v="94"/>
    <n v="3500"/>
    <n v="5200"/>
    <n v="329000"/>
    <n v="488800"/>
    <n v="159800"/>
    <n v="0.32692307692307693"/>
  </r>
  <r>
    <s v="VEN-1063"/>
    <x v="52"/>
    <x v="5"/>
    <x v="0"/>
    <n v="12"/>
    <n v="4100"/>
    <n v="6300"/>
    <n v="49200"/>
    <n v="75600"/>
    <n v="26400"/>
    <n v="0.34920634920634919"/>
  </r>
  <r>
    <s v="VEN-1064"/>
    <x v="53"/>
    <x v="6"/>
    <x v="0"/>
    <n v="62"/>
    <n v="4100"/>
    <n v="6300"/>
    <n v="254200"/>
    <n v="390600"/>
    <n v="136400"/>
    <n v="0.34920634920634919"/>
  </r>
  <r>
    <s v="VEN-1065"/>
    <x v="54"/>
    <x v="3"/>
    <x v="5"/>
    <n v="64"/>
    <n v="6800"/>
    <n v="10500"/>
    <n v="435200"/>
    <n v="672000"/>
    <n v="236800"/>
    <n v="0.35238095238095241"/>
  </r>
  <r>
    <s v="VEN-1066"/>
    <x v="55"/>
    <x v="7"/>
    <x v="9"/>
    <n v="54"/>
    <n v="18500"/>
    <n v="27000"/>
    <n v="999000"/>
    <n v="1458000"/>
    <n v="459000"/>
    <n v="0.31481481481481483"/>
  </r>
  <r>
    <s v="VEN-1067"/>
    <x v="56"/>
    <x v="0"/>
    <x v="9"/>
    <n v="32"/>
    <n v="18500"/>
    <n v="27000"/>
    <n v="592000"/>
    <n v="864000"/>
    <n v="272000"/>
    <n v="0.31481481481481483"/>
  </r>
  <r>
    <s v="VEN-1068"/>
    <x v="57"/>
    <x v="3"/>
    <x v="6"/>
    <n v="96"/>
    <n v="120"/>
    <n v="190"/>
    <n v="11520"/>
    <n v="18240"/>
    <n v="6720"/>
    <n v="0.36842105263157893"/>
  </r>
  <r>
    <s v="VEN-1069"/>
    <x v="58"/>
    <x v="2"/>
    <x v="6"/>
    <n v="105"/>
    <n v="120"/>
    <n v="190"/>
    <n v="12600"/>
    <n v="19950"/>
    <n v="7350"/>
    <n v="0.36842105263157893"/>
  </r>
  <r>
    <s v="VEN-1070"/>
    <x v="59"/>
    <x v="4"/>
    <x v="6"/>
    <n v="45"/>
    <n v="120"/>
    <n v="190"/>
    <n v="5400"/>
    <n v="8550"/>
    <n v="3150"/>
    <n v="0.36842105263157893"/>
  </r>
  <r>
    <s v="VEN-1071"/>
    <x v="60"/>
    <x v="6"/>
    <x v="8"/>
    <n v="104"/>
    <n v="25000"/>
    <n v="38000"/>
    <n v="2600000"/>
    <n v="3952000"/>
    <n v="1352000"/>
    <n v="0.34210526315789475"/>
  </r>
  <r>
    <s v="VEN-1072"/>
    <x v="61"/>
    <x v="0"/>
    <x v="2"/>
    <n v="68"/>
    <n v="5400"/>
    <n v="8100"/>
    <n v="367200"/>
    <n v="550800"/>
    <n v="183600"/>
    <n v="0.33333333333333331"/>
  </r>
  <r>
    <s v="VEN-1073"/>
    <x v="62"/>
    <x v="3"/>
    <x v="4"/>
    <n v="31"/>
    <n v="9500"/>
    <n v="14200"/>
    <n v="294500"/>
    <n v="440200"/>
    <n v="145700"/>
    <n v="0.33098591549295775"/>
  </r>
  <r>
    <s v="VEN-1074"/>
    <x v="62"/>
    <x v="4"/>
    <x v="2"/>
    <n v="67"/>
    <n v="5400"/>
    <n v="8100"/>
    <n v="361800"/>
    <n v="542700"/>
    <n v="180900"/>
    <n v="0.33333333333333331"/>
  </r>
  <r>
    <s v="VEN-1075"/>
    <x v="63"/>
    <x v="1"/>
    <x v="1"/>
    <n v="21"/>
    <n v="3500"/>
    <n v="5200"/>
    <n v="73500"/>
    <n v="109200"/>
    <n v="35700"/>
    <n v="0.32692307692307693"/>
  </r>
  <r>
    <s v="VEN-1076"/>
    <x v="64"/>
    <x v="6"/>
    <x v="2"/>
    <n v="77"/>
    <n v="5400"/>
    <n v="8100"/>
    <n v="415800"/>
    <n v="623700"/>
    <n v="207900"/>
    <n v="0.33333333333333331"/>
  </r>
  <r>
    <s v="VEN-1077"/>
    <x v="65"/>
    <x v="6"/>
    <x v="8"/>
    <n v="37"/>
    <n v="25000"/>
    <n v="38000"/>
    <n v="925000"/>
    <n v="1406000"/>
    <n v="481000"/>
    <n v="0.34210526315789475"/>
  </r>
  <r>
    <s v="VEN-1078"/>
    <x v="66"/>
    <x v="1"/>
    <x v="1"/>
    <n v="88"/>
    <n v="3500"/>
    <n v="5200"/>
    <n v="308000"/>
    <n v="457600"/>
    <n v="149600"/>
    <n v="0.32692307692307693"/>
  </r>
  <r>
    <s v="VEN-1079"/>
    <x v="67"/>
    <x v="7"/>
    <x v="2"/>
    <n v="81"/>
    <n v="5400"/>
    <n v="8100"/>
    <n v="437400"/>
    <n v="656100"/>
    <n v="218700"/>
    <n v="0.33333333333333331"/>
  </r>
  <r>
    <s v="VEN-1080"/>
    <x v="68"/>
    <x v="1"/>
    <x v="8"/>
    <n v="96"/>
    <n v="25000"/>
    <n v="38000"/>
    <n v="2400000"/>
    <n v="3648000"/>
    <n v="1248000"/>
    <n v="0.34210526315789475"/>
  </r>
  <r>
    <s v="VEN-1081"/>
    <x v="69"/>
    <x v="6"/>
    <x v="4"/>
    <n v="116"/>
    <n v="9500"/>
    <n v="14200"/>
    <n v="1102000"/>
    <n v="1647200"/>
    <n v="545200"/>
    <n v="0.33098591549295775"/>
  </r>
  <r>
    <s v="VEN-1082"/>
    <x v="70"/>
    <x v="6"/>
    <x v="2"/>
    <n v="33"/>
    <n v="5400"/>
    <n v="8100"/>
    <n v="178200"/>
    <n v="267300"/>
    <n v="89100"/>
    <n v="0.33333333333333331"/>
  </r>
  <r>
    <s v="VEN-1083"/>
    <x v="71"/>
    <x v="3"/>
    <x v="8"/>
    <n v="17"/>
    <n v="25000"/>
    <n v="38000"/>
    <n v="425000"/>
    <n v="646000"/>
    <n v="221000"/>
    <n v="0.34210526315789475"/>
  </r>
  <r>
    <s v="VEN-1084"/>
    <x v="72"/>
    <x v="5"/>
    <x v="6"/>
    <n v="50"/>
    <n v="120"/>
    <n v="190"/>
    <n v="6000"/>
    <n v="9500"/>
    <n v="3500"/>
    <n v="0.36842105263157893"/>
  </r>
  <r>
    <s v="VEN-1085"/>
    <x v="72"/>
    <x v="4"/>
    <x v="9"/>
    <n v="39"/>
    <n v="18500"/>
    <n v="27000"/>
    <n v="721500"/>
    <n v="1053000"/>
    <n v="331500"/>
    <n v="0.31481481481481483"/>
  </r>
  <r>
    <s v="VEN-1086"/>
    <x v="73"/>
    <x v="1"/>
    <x v="6"/>
    <n v="10"/>
    <n v="120"/>
    <n v="190"/>
    <n v="1200"/>
    <n v="1900"/>
    <n v="700"/>
    <n v="0.36842105263157893"/>
  </r>
  <r>
    <s v="VEN-1087"/>
    <x v="74"/>
    <x v="4"/>
    <x v="9"/>
    <n v="86"/>
    <n v="18500"/>
    <n v="27000"/>
    <n v="1591000"/>
    <n v="2322000"/>
    <n v="731000"/>
    <n v="0.31481481481481483"/>
  </r>
  <r>
    <s v="VEN-1088"/>
    <x v="74"/>
    <x v="1"/>
    <x v="3"/>
    <n v="119"/>
    <n v="8200"/>
    <n v="11800"/>
    <n v="975800"/>
    <n v="1404200"/>
    <n v="428400"/>
    <n v="0.30508474576271188"/>
  </r>
  <r>
    <s v="VEN-1089"/>
    <x v="75"/>
    <x v="2"/>
    <x v="3"/>
    <n v="73"/>
    <n v="8200"/>
    <n v="11800"/>
    <n v="598600"/>
    <n v="861400"/>
    <n v="262800"/>
    <n v="0.30508474576271188"/>
  </r>
  <r>
    <s v="VEN-1090"/>
    <x v="75"/>
    <x v="6"/>
    <x v="3"/>
    <n v="51"/>
    <n v="8200"/>
    <n v="11800"/>
    <n v="418200"/>
    <n v="601800"/>
    <n v="183600"/>
    <n v="0.30508474576271188"/>
  </r>
  <r>
    <s v="VEN-1091"/>
    <x v="76"/>
    <x v="5"/>
    <x v="4"/>
    <n v="29"/>
    <n v="9500"/>
    <n v="14200"/>
    <n v="275500"/>
    <n v="411800"/>
    <n v="136300"/>
    <n v="0.33098591549295775"/>
  </r>
  <r>
    <s v="VEN-1092"/>
    <x v="77"/>
    <x v="3"/>
    <x v="6"/>
    <n v="70"/>
    <n v="120"/>
    <n v="190"/>
    <n v="8400"/>
    <n v="13300"/>
    <n v="4900"/>
    <n v="0.36842105263157893"/>
  </r>
  <r>
    <s v="VEN-1093"/>
    <x v="78"/>
    <x v="5"/>
    <x v="9"/>
    <n v="14"/>
    <n v="18500"/>
    <n v="27000"/>
    <n v="259000"/>
    <n v="378000"/>
    <n v="119000"/>
    <n v="0.31481481481481483"/>
  </r>
  <r>
    <s v="VEN-1094"/>
    <x v="79"/>
    <x v="5"/>
    <x v="8"/>
    <n v="60"/>
    <n v="25000"/>
    <n v="38000"/>
    <n v="1500000"/>
    <n v="2280000"/>
    <n v="780000"/>
    <n v="0.34210526315789475"/>
  </r>
  <r>
    <s v="VEN-1095"/>
    <x v="80"/>
    <x v="5"/>
    <x v="1"/>
    <n v="34"/>
    <n v="3500"/>
    <n v="5200"/>
    <n v="119000"/>
    <n v="176800"/>
    <n v="57800"/>
    <n v="0.32692307692307693"/>
  </r>
  <r>
    <s v="VEN-1096"/>
    <x v="81"/>
    <x v="4"/>
    <x v="8"/>
    <n v="118"/>
    <n v="25000"/>
    <n v="38000"/>
    <n v="2950000"/>
    <n v="4484000"/>
    <n v="1534000"/>
    <n v="0.34210526315789475"/>
  </r>
  <r>
    <s v="VEN-1097"/>
    <x v="82"/>
    <x v="1"/>
    <x v="1"/>
    <n v="113"/>
    <n v="3500"/>
    <n v="5200"/>
    <n v="395500"/>
    <n v="587600"/>
    <n v="192100"/>
    <n v="0.32692307692307693"/>
  </r>
  <r>
    <s v="VEN-1098"/>
    <x v="83"/>
    <x v="8"/>
    <x v="0"/>
    <n v="9"/>
    <n v="4100"/>
    <n v="6300"/>
    <n v="36900"/>
    <n v="56700"/>
    <n v="19800"/>
    <n v="0.34920634920634919"/>
  </r>
  <r>
    <s v="VEN-1099"/>
    <x v="84"/>
    <x v="2"/>
    <x v="8"/>
    <n v="37"/>
    <n v="25000"/>
    <n v="38000"/>
    <n v="925000"/>
    <n v="1406000"/>
    <n v="481000"/>
    <n v="0.34210526315789475"/>
  </r>
  <r>
    <s v="VEN-1100"/>
    <x v="85"/>
    <x v="0"/>
    <x v="2"/>
    <n v="69"/>
    <n v="5400"/>
    <n v="8100"/>
    <n v="372600"/>
    <n v="558900"/>
    <n v="186300"/>
    <n v="0.33333333333333331"/>
  </r>
  <r>
    <s v="VEN-1101"/>
    <x v="86"/>
    <x v="5"/>
    <x v="2"/>
    <n v="22"/>
    <n v="5400"/>
    <n v="8100"/>
    <n v="118800"/>
    <n v="178200"/>
    <n v="59400"/>
    <n v="0.33333333333333331"/>
  </r>
  <r>
    <s v="VEN-1102"/>
    <x v="86"/>
    <x v="7"/>
    <x v="5"/>
    <n v="100"/>
    <n v="6800"/>
    <n v="10500"/>
    <n v="680000"/>
    <n v="1050000"/>
    <n v="370000"/>
    <n v="0.35238095238095241"/>
  </r>
  <r>
    <s v="VEN-1103"/>
    <x v="87"/>
    <x v="4"/>
    <x v="6"/>
    <n v="115"/>
    <n v="120"/>
    <n v="190"/>
    <n v="13800"/>
    <n v="21850"/>
    <n v="8050"/>
    <n v="0.36842105263157893"/>
  </r>
  <r>
    <s v="VEN-1104"/>
    <x v="88"/>
    <x v="3"/>
    <x v="1"/>
    <n v="53"/>
    <n v="3500"/>
    <n v="5200"/>
    <n v="185500"/>
    <n v="275600"/>
    <n v="90100"/>
    <n v="0.32692307692307693"/>
  </r>
  <r>
    <s v="VEN-1105"/>
    <x v="88"/>
    <x v="0"/>
    <x v="1"/>
    <n v="15"/>
    <n v="3500"/>
    <n v="5200"/>
    <n v="52500"/>
    <n v="78000"/>
    <n v="25500"/>
    <n v="0.32692307692307693"/>
  </r>
  <r>
    <s v="VEN-1106"/>
    <x v="89"/>
    <x v="8"/>
    <x v="6"/>
    <n v="89"/>
    <n v="120"/>
    <n v="190"/>
    <n v="10680"/>
    <n v="16910"/>
    <n v="6230"/>
    <n v="0.36842105263157893"/>
  </r>
  <r>
    <s v="VEN-1107"/>
    <x v="90"/>
    <x v="7"/>
    <x v="4"/>
    <n v="30"/>
    <n v="9500"/>
    <n v="14200"/>
    <n v="285000"/>
    <n v="426000"/>
    <n v="141000"/>
    <n v="0.33098591549295775"/>
  </r>
  <r>
    <s v="VEN-1108"/>
    <x v="91"/>
    <x v="8"/>
    <x v="5"/>
    <n v="67"/>
    <n v="6800"/>
    <n v="10500"/>
    <n v="455600"/>
    <n v="703500"/>
    <n v="247900"/>
    <n v="0.35238095238095241"/>
  </r>
  <r>
    <s v="VEN-1109"/>
    <x v="92"/>
    <x v="0"/>
    <x v="4"/>
    <n v="93"/>
    <n v="9500"/>
    <n v="14200"/>
    <n v="883500"/>
    <n v="1320600"/>
    <n v="437100"/>
    <n v="0.33098591549295775"/>
  </r>
  <r>
    <s v="VEN-1110"/>
    <x v="93"/>
    <x v="5"/>
    <x v="4"/>
    <n v="90"/>
    <n v="9500"/>
    <n v="14200"/>
    <n v="855000"/>
    <n v="1278000"/>
    <n v="423000"/>
    <n v="0.33098591549295775"/>
  </r>
  <r>
    <s v="VEN-1111"/>
    <x v="94"/>
    <x v="7"/>
    <x v="4"/>
    <n v="63"/>
    <n v="9500"/>
    <n v="14200"/>
    <n v="598500"/>
    <n v="894600"/>
    <n v="296100"/>
    <n v="0.33098591549295775"/>
  </r>
  <r>
    <s v="VEN-1112"/>
    <x v="94"/>
    <x v="8"/>
    <x v="6"/>
    <n v="31"/>
    <n v="120"/>
    <n v="190"/>
    <n v="3720"/>
    <n v="5890"/>
    <n v="2170"/>
    <n v="0.36842105263157893"/>
  </r>
  <r>
    <s v="VEN-1113"/>
    <x v="95"/>
    <x v="3"/>
    <x v="4"/>
    <n v="53"/>
    <n v="9500"/>
    <n v="14200"/>
    <n v="503500"/>
    <n v="752600"/>
    <n v="249100"/>
    <n v="0.33098591549295775"/>
  </r>
  <r>
    <s v="VEN-1114"/>
    <x v="96"/>
    <x v="1"/>
    <x v="2"/>
    <n v="81"/>
    <n v="5400"/>
    <n v="8100"/>
    <n v="437400"/>
    <n v="656100"/>
    <n v="218700"/>
    <n v="0.33333333333333331"/>
  </r>
  <r>
    <s v="VEN-1115"/>
    <x v="97"/>
    <x v="6"/>
    <x v="3"/>
    <n v="37"/>
    <n v="8200"/>
    <n v="11800"/>
    <n v="303400"/>
    <n v="436600"/>
    <n v="133200"/>
    <n v="0.30508474576271188"/>
  </r>
  <r>
    <s v="VEN-1116"/>
    <x v="98"/>
    <x v="1"/>
    <x v="0"/>
    <n v="102"/>
    <n v="4100"/>
    <n v="6300"/>
    <n v="418200"/>
    <n v="642600"/>
    <n v="224400"/>
    <n v="0.34920634920634919"/>
  </r>
  <r>
    <s v="VEN-1117"/>
    <x v="99"/>
    <x v="0"/>
    <x v="1"/>
    <n v="109"/>
    <n v="3500"/>
    <n v="5200"/>
    <n v="381500"/>
    <n v="566800"/>
    <n v="185300"/>
    <n v="0.32692307692307693"/>
  </r>
  <r>
    <s v="VEN-1118"/>
    <x v="100"/>
    <x v="4"/>
    <x v="1"/>
    <n v="103"/>
    <n v="3500"/>
    <n v="5200"/>
    <n v="360500"/>
    <n v="535600"/>
    <n v="175100"/>
    <n v="0.32692307692307693"/>
  </r>
  <r>
    <s v="VEN-1119"/>
    <x v="101"/>
    <x v="6"/>
    <x v="0"/>
    <n v="5"/>
    <n v="4100"/>
    <n v="6300"/>
    <n v="20500"/>
    <n v="31500"/>
    <n v="11000"/>
    <n v="0.34920634920634919"/>
  </r>
  <r>
    <s v="VEN-1120"/>
    <x v="102"/>
    <x v="2"/>
    <x v="6"/>
    <n v="25"/>
    <n v="120"/>
    <n v="190"/>
    <n v="3000"/>
    <n v="4750"/>
    <n v="1750"/>
    <n v="0.36842105263157893"/>
  </r>
  <r>
    <s v="VEN-1121"/>
    <x v="102"/>
    <x v="3"/>
    <x v="8"/>
    <n v="116"/>
    <n v="25000"/>
    <n v="38000"/>
    <n v="2900000"/>
    <n v="4408000"/>
    <n v="1508000"/>
    <n v="0.34210526315789475"/>
  </r>
  <r>
    <s v="VEN-1122"/>
    <x v="103"/>
    <x v="2"/>
    <x v="6"/>
    <n v="59"/>
    <n v="120"/>
    <n v="190"/>
    <n v="7080"/>
    <n v="11210"/>
    <n v="4130"/>
    <n v="0.36842105263157893"/>
  </r>
  <r>
    <s v="VEN-1123"/>
    <x v="104"/>
    <x v="7"/>
    <x v="1"/>
    <n v="10"/>
    <n v="3500"/>
    <n v="5200"/>
    <n v="35000"/>
    <n v="52000"/>
    <n v="17000"/>
    <n v="0.32692307692307693"/>
  </r>
  <r>
    <s v="VEN-1124"/>
    <x v="105"/>
    <x v="6"/>
    <x v="1"/>
    <n v="96"/>
    <n v="3500"/>
    <n v="5200"/>
    <n v="336000"/>
    <n v="499200"/>
    <n v="163200"/>
    <n v="0.32692307692307693"/>
  </r>
  <r>
    <s v="VEN-1125"/>
    <x v="106"/>
    <x v="2"/>
    <x v="0"/>
    <n v="85"/>
    <n v="4100"/>
    <n v="6300"/>
    <n v="348500"/>
    <n v="535500"/>
    <n v="187000"/>
    <n v="0.34920634920634919"/>
  </r>
  <r>
    <s v="VEN-1126"/>
    <x v="106"/>
    <x v="2"/>
    <x v="4"/>
    <n v="73"/>
    <n v="9500"/>
    <n v="14200"/>
    <n v="693500"/>
    <n v="1036600"/>
    <n v="343100"/>
    <n v="0.33098591549295775"/>
  </r>
  <r>
    <s v="VEN-1127"/>
    <x v="107"/>
    <x v="8"/>
    <x v="6"/>
    <n v="99"/>
    <n v="120"/>
    <n v="190"/>
    <n v="11880"/>
    <n v="18810"/>
    <n v="6930"/>
    <n v="0.36842105263157893"/>
  </r>
  <r>
    <s v="VEN-1128"/>
    <x v="108"/>
    <x v="1"/>
    <x v="9"/>
    <n v="9"/>
    <n v="18500"/>
    <n v="27000"/>
    <n v="166500"/>
    <n v="243000"/>
    <n v="76500"/>
    <n v="0.31481481481481483"/>
  </r>
  <r>
    <s v="VEN-1129"/>
    <x v="108"/>
    <x v="8"/>
    <x v="0"/>
    <n v="106"/>
    <n v="4100"/>
    <n v="6300"/>
    <n v="434600"/>
    <n v="667800"/>
    <n v="233200"/>
    <n v="0.34920634920634919"/>
  </r>
  <r>
    <s v="VEN-1130"/>
    <x v="109"/>
    <x v="6"/>
    <x v="2"/>
    <n v="7"/>
    <n v="5400"/>
    <n v="8100"/>
    <n v="37800"/>
    <n v="56700"/>
    <n v="18900"/>
    <n v="0.33333333333333331"/>
  </r>
  <r>
    <s v="VEN-1131"/>
    <x v="110"/>
    <x v="6"/>
    <x v="1"/>
    <n v="57"/>
    <n v="3500"/>
    <n v="5200"/>
    <n v="199500"/>
    <n v="296400"/>
    <n v="96900"/>
    <n v="0.32692307692307693"/>
  </r>
  <r>
    <s v="VEN-1132"/>
    <x v="111"/>
    <x v="0"/>
    <x v="0"/>
    <n v="27"/>
    <n v="4100"/>
    <n v="6300"/>
    <n v="110700"/>
    <n v="170100"/>
    <n v="59400"/>
    <n v="0.34920634920634919"/>
  </r>
  <r>
    <s v="VEN-1133"/>
    <x v="112"/>
    <x v="8"/>
    <x v="6"/>
    <n v="105"/>
    <n v="120"/>
    <n v="190"/>
    <n v="12600"/>
    <n v="19950"/>
    <n v="7350"/>
    <n v="0.36842105263157893"/>
  </r>
  <r>
    <s v="VEN-1134"/>
    <x v="113"/>
    <x v="9"/>
    <x v="1"/>
    <n v="57"/>
    <n v="3500"/>
    <n v="5200"/>
    <n v="199500"/>
    <n v="296400"/>
    <n v="96900"/>
    <n v="0.32692307692307693"/>
  </r>
  <r>
    <s v="VEN-1135"/>
    <x v="113"/>
    <x v="1"/>
    <x v="8"/>
    <n v="41"/>
    <n v="25000"/>
    <n v="38000"/>
    <n v="1025000"/>
    <n v="1558000"/>
    <n v="533000"/>
    <n v="0.34210526315789475"/>
  </r>
  <r>
    <s v="VEN-1136"/>
    <x v="114"/>
    <x v="6"/>
    <x v="0"/>
    <n v="78"/>
    <n v="4100"/>
    <n v="6300"/>
    <n v="319800"/>
    <n v="491400"/>
    <n v="171600"/>
    <n v="0.34920634920634919"/>
  </r>
  <r>
    <s v="VEN-1137"/>
    <x v="115"/>
    <x v="0"/>
    <x v="5"/>
    <n v="78"/>
    <n v="6800"/>
    <n v="10500"/>
    <n v="530400"/>
    <n v="819000"/>
    <n v="288600"/>
    <n v="0.35238095238095241"/>
  </r>
  <r>
    <s v="VEN-1138"/>
    <x v="116"/>
    <x v="8"/>
    <x v="1"/>
    <n v="87"/>
    <n v="3500"/>
    <n v="5200"/>
    <n v="304500"/>
    <n v="452400"/>
    <n v="147900"/>
    <n v="0.32692307692307693"/>
  </r>
  <r>
    <s v="VEN-1139"/>
    <x v="117"/>
    <x v="1"/>
    <x v="6"/>
    <n v="21"/>
    <n v="120"/>
    <n v="190"/>
    <n v="2520"/>
    <n v="3990"/>
    <n v="1470"/>
    <n v="0.36842105263157893"/>
  </r>
  <r>
    <s v="VEN-1140"/>
    <x v="118"/>
    <x v="8"/>
    <x v="3"/>
    <n v="89"/>
    <n v="8200"/>
    <n v="11800"/>
    <n v="729800"/>
    <n v="1050200"/>
    <n v="320400"/>
    <n v="0.30508474576271188"/>
  </r>
  <r>
    <s v="VEN-1141"/>
    <x v="119"/>
    <x v="2"/>
    <x v="9"/>
    <n v="82"/>
    <n v="18500"/>
    <n v="27000"/>
    <n v="1517000"/>
    <n v="2214000"/>
    <n v="697000"/>
    <n v="0.31481481481481483"/>
  </r>
  <r>
    <s v="VEN-1142"/>
    <x v="119"/>
    <x v="0"/>
    <x v="7"/>
    <n v="77"/>
    <n v="7200"/>
    <n v="10800"/>
    <n v="554400"/>
    <n v="831600"/>
    <n v="277200"/>
    <n v="0.33333333333333331"/>
  </r>
  <r>
    <s v="VEN-1143"/>
    <x v="120"/>
    <x v="1"/>
    <x v="4"/>
    <n v="114"/>
    <n v="9500"/>
    <n v="14200"/>
    <n v="1083000"/>
    <n v="1618800"/>
    <n v="535800"/>
    <n v="0.33098591549295775"/>
  </r>
  <r>
    <s v="VEN-1144"/>
    <x v="121"/>
    <x v="5"/>
    <x v="7"/>
    <n v="5"/>
    <n v="7200"/>
    <n v="10800"/>
    <n v="36000"/>
    <n v="54000"/>
    <n v="18000"/>
    <n v="0.33333333333333331"/>
  </r>
  <r>
    <s v="VEN-1145"/>
    <x v="122"/>
    <x v="7"/>
    <x v="6"/>
    <n v="55"/>
    <n v="120"/>
    <n v="190"/>
    <n v="6600"/>
    <n v="10450"/>
    <n v="3850"/>
    <n v="0.36842105263157893"/>
  </r>
  <r>
    <s v="VEN-1146"/>
    <x v="123"/>
    <x v="7"/>
    <x v="2"/>
    <n v="49"/>
    <n v="5400"/>
    <n v="8100"/>
    <n v="264600"/>
    <n v="396900"/>
    <n v="132300"/>
    <n v="0.33333333333333331"/>
  </r>
  <r>
    <s v="VEN-1147"/>
    <x v="124"/>
    <x v="1"/>
    <x v="2"/>
    <n v="81"/>
    <n v="5400"/>
    <n v="8100"/>
    <n v="437400"/>
    <n v="656100"/>
    <n v="218700"/>
    <n v="0.33333333333333331"/>
  </r>
  <r>
    <s v="VEN-1148"/>
    <x v="125"/>
    <x v="8"/>
    <x v="3"/>
    <n v="8"/>
    <n v="8200"/>
    <n v="11800"/>
    <n v="65600"/>
    <n v="94400"/>
    <n v="28800"/>
    <n v="0.30508474576271188"/>
  </r>
  <r>
    <s v="VEN-1149"/>
    <x v="126"/>
    <x v="0"/>
    <x v="4"/>
    <n v="66"/>
    <n v="9500"/>
    <n v="14200"/>
    <n v="627000"/>
    <n v="937200"/>
    <n v="310200"/>
    <n v="0.33098591549295775"/>
  </r>
  <r>
    <s v="VEN-1150"/>
    <x v="127"/>
    <x v="7"/>
    <x v="5"/>
    <n v="69"/>
    <n v="6800"/>
    <n v="10500"/>
    <n v="469200"/>
    <n v="724500"/>
    <n v="255300"/>
    <n v="0.35238095238095241"/>
  </r>
  <r>
    <s v="VEN-1151"/>
    <x v="128"/>
    <x v="0"/>
    <x v="3"/>
    <n v="117"/>
    <n v="8200"/>
    <n v="11800"/>
    <n v="959400"/>
    <n v="1380600"/>
    <n v="421200"/>
    <n v="0.30508474576271188"/>
  </r>
  <r>
    <s v="VEN-1152"/>
    <x v="129"/>
    <x v="7"/>
    <x v="7"/>
    <n v="108"/>
    <n v="7200"/>
    <n v="10800"/>
    <n v="777600"/>
    <n v="1166400"/>
    <n v="388800"/>
    <n v="0.33333333333333331"/>
  </r>
  <r>
    <s v="VEN-1153"/>
    <x v="130"/>
    <x v="2"/>
    <x v="3"/>
    <n v="36"/>
    <n v="8200"/>
    <n v="11800"/>
    <n v="295200"/>
    <n v="424800"/>
    <n v="129600"/>
    <n v="0.30508474576271188"/>
  </r>
  <r>
    <s v="VEN-1154"/>
    <x v="130"/>
    <x v="8"/>
    <x v="7"/>
    <n v="38"/>
    <n v="7200"/>
    <n v="10800"/>
    <n v="273600"/>
    <n v="410400"/>
    <n v="136800"/>
    <n v="0.33333333333333331"/>
  </r>
  <r>
    <s v="VEN-1155"/>
    <x v="131"/>
    <x v="2"/>
    <x v="1"/>
    <n v="96"/>
    <n v="3500"/>
    <n v="5200"/>
    <n v="336000"/>
    <n v="499200"/>
    <n v="163200"/>
    <n v="0.32692307692307693"/>
  </r>
  <r>
    <s v="VEN-1156"/>
    <x v="132"/>
    <x v="7"/>
    <x v="2"/>
    <n v="99"/>
    <n v="5400"/>
    <n v="8100"/>
    <n v="534600"/>
    <n v="801900"/>
    <n v="267300"/>
    <n v="0.33333333333333331"/>
  </r>
  <r>
    <s v="VEN-1157"/>
    <x v="133"/>
    <x v="5"/>
    <x v="1"/>
    <n v="76"/>
    <n v="3500"/>
    <n v="5200"/>
    <n v="266000"/>
    <n v="395200"/>
    <n v="129200"/>
    <n v="0.32692307692307693"/>
  </r>
  <r>
    <s v="VEN-1158"/>
    <x v="134"/>
    <x v="5"/>
    <x v="9"/>
    <n v="43"/>
    <n v="18500"/>
    <n v="27000"/>
    <n v="795500"/>
    <n v="1161000"/>
    <n v="365500"/>
    <n v="0.31481481481481483"/>
  </r>
  <r>
    <s v="VEN-1159"/>
    <x v="135"/>
    <x v="2"/>
    <x v="4"/>
    <n v="30"/>
    <n v="9500"/>
    <n v="14200"/>
    <n v="285000"/>
    <n v="426000"/>
    <n v="141000"/>
    <n v="0.33098591549295775"/>
  </r>
  <r>
    <s v="VEN-1160"/>
    <x v="135"/>
    <x v="5"/>
    <x v="5"/>
    <n v="38"/>
    <n v="6800"/>
    <n v="10500"/>
    <n v="258400"/>
    <n v="399000"/>
    <n v="140600"/>
    <n v="0.35238095238095241"/>
  </r>
  <r>
    <s v="VEN-1161"/>
    <x v="136"/>
    <x v="7"/>
    <x v="7"/>
    <n v="58"/>
    <n v="7200"/>
    <n v="10800"/>
    <n v="417600"/>
    <n v="626400"/>
    <n v="208800"/>
    <n v="0.33333333333333331"/>
  </r>
  <r>
    <s v="VEN-1162"/>
    <x v="137"/>
    <x v="1"/>
    <x v="5"/>
    <n v="7"/>
    <n v="6800"/>
    <n v="10500"/>
    <n v="47600"/>
    <n v="73500"/>
    <n v="25900"/>
    <n v="0.35238095238095241"/>
  </r>
  <r>
    <s v="VEN-1163"/>
    <x v="138"/>
    <x v="2"/>
    <x v="7"/>
    <n v="54"/>
    <n v="7200"/>
    <n v="10800"/>
    <n v="388800"/>
    <n v="583200"/>
    <n v="194400"/>
    <n v="0.33333333333333331"/>
  </r>
  <r>
    <s v="VEN-1164"/>
    <x v="139"/>
    <x v="4"/>
    <x v="6"/>
    <n v="16"/>
    <n v="120"/>
    <n v="190"/>
    <n v="1920"/>
    <n v="3040"/>
    <n v="1120"/>
    <n v="0.36842105263157893"/>
  </r>
  <r>
    <s v="VEN-1165"/>
    <x v="139"/>
    <x v="8"/>
    <x v="3"/>
    <n v="69"/>
    <n v="8200"/>
    <n v="11800"/>
    <n v="565800"/>
    <n v="814200"/>
    <n v="248400"/>
    <n v="0.30508474576271188"/>
  </r>
  <r>
    <s v="VEN-1166"/>
    <x v="140"/>
    <x v="5"/>
    <x v="9"/>
    <n v="58"/>
    <n v="18500"/>
    <n v="27000"/>
    <n v="1073000"/>
    <n v="1566000"/>
    <n v="493000"/>
    <n v="0.31481481481481483"/>
  </r>
  <r>
    <s v="VEN-1167"/>
    <x v="141"/>
    <x v="5"/>
    <x v="2"/>
    <n v="112"/>
    <n v="5400"/>
    <n v="8100"/>
    <n v="604800"/>
    <n v="907200"/>
    <n v="302400"/>
    <n v="0.33333333333333331"/>
  </r>
  <r>
    <s v="VEN-1168"/>
    <x v="142"/>
    <x v="6"/>
    <x v="7"/>
    <n v="9"/>
    <n v="7200"/>
    <n v="10800"/>
    <n v="64800"/>
    <n v="97200"/>
    <n v="32400"/>
    <n v="0.33333333333333331"/>
  </r>
  <r>
    <s v="VEN-1169"/>
    <x v="143"/>
    <x v="9"/>
    <x v="5"/>
    <n v="98"/>
    <n v="6800"/>
    <n v="10500"/>
    <n v="666400"/>
    <n v="1029000"/>
    <n v="362600"/>
    <n v="0.35238095238095241"/>
  </r>
  <r>
    <s v="VEN-1170"/>
    <x v="144"/>
    <x v="2"/>
    <x v="9"/>
    <n v="98"/>
    <n v="18500"/>
    <n v="27000"/>
    <n v="1813000"/>
    <n v="2646000"/>
    <n v="833000"/>
    <n v="0.31481481481481483"/>
  </r>
  <r>
    <s v="VEN-1171"/>
    <x v="145"/>
    <x v="3"/>
    <x v="8"/>
    <n v="61"/>
    <n v="25000"/>
    <n v="38000"/>
    <n v="1525000"/>
    <n v="2318000"/>
    <n v="793000"/>
    <n v="0.34210526315789475"/>
  </r>
  <r>
    <s v="VEN-1172"/>
    <x v="146"/>
    <x v="5"/>
    <x v="8"/>
    <n v="21"/>
    <n v="25000"/>
    <n v="38000"/>
    <n v="525000"/>
    <n v="798000"/>
    <n v="273000"/>
    <n v="0.34210526315789475"/>
  </r>
  <r>
    <s v="VEN-1173"/>
    <x v="147"/>
    <x v="8"/>
    <x v="1"/>
    <n v="116"/>
    <n v="3500"/>
    <n v="5200"/>
    <n v="406000"/>
    <n v="603200"/>
    <n v="197200"/>
    <n v="0.32692307692307693"/>
  </r>
  <r>
    <s v="VEN-1174"/>
    <x v="148"/>
    <x v="4"/>
    <x v="2"/>
    <n v="51"/>
    <n v="5400"/>
    <n v="8100"/>
    <n v="275400"/>
    <n v="413100"/>
    <n v="137700"/>
    <n v="0.33333333333333331"/>
  </r>
  <r>
    <s v="VEN-1175"/>
    <x v="149"/>
    <x v="5"/>
    <x v="6"/>
    <n v="27"/>
    <n v="120"/>
    <n v="190"/>
    <n v="3240"/>
    <n v="5130"/>
    <n v="1890"/>
    <n v="0.36842105263157893"/>
  </r>
  <r>
    <s v="VEN-1176"/>
    <x v="150"/>
    <x v="4"/>
    <x v="5"/>
    <n v="83"/>
    <n v="6800"/>
    <n v="10500"/>
    <n v="564400"/>
    <n v="871500"/>
    <n v="307100"/>
    <n v="0.35238095238095241"/>
  </r>
  <r>
    <s v="VEN-1177"/>
    <x v="151"/>
    <x v="7"/>
    <x v="3"/>
    <n v="105"/>
    <n v="8200"/>
    <n v="11800"/>
    <n v="861000"/>
    <n v="1239000"/>
    <n v="378000"/>
    <n v="0.30508474576271188"/>
  </r>
  <r>
    <s v="VEN-1178"/>
    <x v="152"/>
    <x v="7"/>
    <x v="3"/>
    <n v="89"/>
    <n v="8200"/>
    <n v="11800"/>
    <n v="729800"/>
    <n v="1050200"/>
    <n v="320400"/>
    <n v="0.30508474576271188"/>
  </r>
  <r>
    <s v="VEN-1179"/>
    <x v="153"/>
    <x v="9"/>
    <x v="5"/>
    <n v="18"/>
    <n v="6800"/>
    <n v="10500"/>
    <n v="122400"/>
    <n v="189000"/>
    <n v="66600"/>
    <n v="0.35238095238095241"/>
  </r>
  <r>
    <s v="VEN-1180"/>
    <x v="154"/>
    <x v="1"/>
    <x v="4"/>
    <n v="70"/>
    <n v="9500"/>
    <n v="14200"/>
    <n v="665000"/>
    <n v="994000"/>
    <n v="329000"/>
    <n v="0.33098591549295775"/>
  </r>
  <r>
    <s v="VEN-1181"/>
    <x v="155"/>
    <x v="3"/>
    <x v="6"/>
    <n v="79"/>
    <n v="120"/>
    <n v="190"/>
    <n v="9480"/>
    <n v="15010"/>
    <n v="5530"/>
    <n v="0.36842105263157893"/>
  </r>
  <r>
    <s v="VEN-1182"/>
    <x v="156"/>
    <x v="6"/>
    <x v="9"/>
    <n v="55"/>
    <n v="18500"/>
    <n v="27000"/>
    <n v="1017500"/>
    <n v="1485000"/>
    <n v="467500"/>
    <n v="0.31481481481481483"/>
  </r>
  <r>
    <s v="VEN-1183"/>
    <x v="157"/>
    <x v="9"/>
    <x v="7"/>
    <n v="107"/>
    <n v="7200"/>
    <n v="10800"/>
    <n v="770400"/>
    <n v="1155600"/>
    <n v="385200"/>
    <n v="0.33333333333333331"/>
  </r>
  <r>
    <s v="VEN-1184"/>
    <x v="158"/>
    <x v="0"/>
    <x v="4"/>
    <n v="42"/>
    <n v="9500"/>
    <n v="14200"/>
    <n v="399000"/>
    <n v="596400"/>
    <n v="197400"/>
    <n v="0.33098591549295775"/>
  </r>
  <r>
    <s v="VEN-1185"/>
    <x v="158"/>
    <x v="6"/>
    <x v="7"/>
    <n v="68"/>
    <n v="7200"/>
    <n v="10800"/>
    <n v="489600"/>
    <n v="734400"/>
    <n v="244800"/>
    <n v="0.33333333333333331"/>
  </r>
  <r>
    <s v="VEN-1186"/>
    <x v="159"/>
    <x v="2"/>
    <x v="7"/>
    <n v="102"/>
    <n v="7200"/>
    <n v="10800"/>
    <n v="734400"/>
    <n v="1101600"/>
    <n v="367200"/>
    <n v="0.33333333333333331"/>
  </r>
  <r>
    <s v="VEN-1187"/>
    <x v="160"/>
    <x v="8"/>
    <x v="4"/>
    <n v="42"/>
    <n v="9500"/>
    <n v="14200"/>
    <n v="399000"/>
    <n v="596400"/>
    <n v="197400"/>
    <n v="0.33098591549295775"/>
  </r>
  <r>
    <s v="VEN-1188"/>
    <x v="161"/>
    <x v="0"/>
    <x v="1"/>
    <n v="54"/>
    <n v="3500"/>
    <n v="5200"/>
    <n v="189000"/>
    <n v="280800"/>
    <n v="91800"/>
    <n v="0.32692307692307693"/>
  </r>
  <r>
    <s v="VEN-1189"/>
    <x v="162"/>
    <x v="0"/>
    <x v="8"/>
    <n v="102"/>
    <n v="25000"/>
    <n v="38000"/>
    <n v="2550000"/>
    <n v="3876000"/>
    <n v="1326000"/>
    <n v="0.34210526315789475"/>
  </r>
  <r>
    <s v="VEN-1190"/>
    <x v="162"/>
    <x v="9"/>
    <x v="7"/>
    <n v="86"/>
    <n v="7200"/>
    <n v="10800"/>
    <n v="619200"/>
    <n v="928800"/>
    <n v="309600"/>
    <n v="0.33333333333333331"/>
  </r>
  <r>
    <s v="VEN-1191"/>
    <x v="163"/>
    <x v="1"/>
    <x v="4"/>
    <n v="34"/>
    <n v="9500"/>
    <n v="14200"/>
    <n v="323000"/>
    <n v="482800"/>
    <n v="159800"/>
    <n v="0.33098591549295775"/>
  </r>
  <r>
    <s v="VEN-1192"/>
    <x v="163"/>
    <x v="9"/>
    <x v="4"/>
    <n v="83"/>
    <n v="9500"/>
    <n v="14200"/>
    <n v="788500"/>
    <n v="1178600"/>
    <n v="390100"/>
    <n v="0.33098591549295775"/>
  </r>
  <r>
    <s v="VEN-1193"/>
    <x v="164"/>
    <x v="2"/>
    <x v="0"/>
    <n v="95"/>
    <n v="4100"/>
    <n v="6300"/>
    <n v="389500"/>
    <n v="598500"/>
    <n v="209000"/>
    <n v="0.34920634920634919"/>
  </r>
  <r>
    <s v="VEN-1194"/>
    <x v="165"/>
    <x v="5"/>
    <x v="1"/>
    <n v="55"/>
    <n v="3500"/>
    <n v="5200"/>
    <n v="192500"/>
    <n v="286000"/>
    <n v="93500"/>
    <n v="0.32692307692307693"/>
  </r>
  <r>
    <s v="VEN-1195"/>
    <x v="166"/>
    <x v="5"/>
    <x v="2"/>
    <n v="67"/>
    <n v="5400"/>
    <n v="8100"/>
    <n v="361800"/>
    <n v="542700"/>
    <n v="180900"/>
    <n v="0.33333333333333331"/>
  </r>
  <r>
    <s v="VEN-1196"/>
    <x v="167"/>
    <x v="1"/>
    <x v="0"/>
    <n v="102"/>
    <n v="4100"/>
    <n v="6300"/>
    <n v="418200"/>
    <n v="642600"/>
    <n v="224400"/>
    <n v="0.34920634920634919"/>
  </r>
  <r>
    <s v="VEN-1197"/>
    <x v="168"/>
    <x v="2"/>
    <x v="0"/>
    <n v="56"/>
    <n v="4100"/>
    <n v="6300"/>
    <n v="229600"/>
    <n v="352800"/>
    <n v="123200"/>
    <n v="0.34920634920634919"/>
  </r>
  <r>
    <s v="VEN-1198"/>
    <x v="169"/>
    <x v="1"/>
    <x v="5"/>
    <n v="42"/>
    <n v="6800"/>
    <n v="10500"/>
    <n v="285600"/>
    <n v="441000"/>
    <n v="155400"/>
    <n v="0.35238095238095241"/>
  </r>
  <r>
    <s v="VEN-1199"/>
    <x v="170"/>
    <x v="4"/>
    <x v="8"/>
    <n v="101"/>
    <n v="25000"/>
    <n v="38000"/>
    <n v="2525000"/>
    <n v="3838000"/>
    <n v="1313000"/>
    <n v="0.34210526315789475"/>
  </r>
  <r>
    <s v="VEN-1200"/>
    <x v="171"/>
    <x v="5"/>
    <x v="4"/>
    <n v="92"/>
    <n v="9500"/>
    <n v="14200"/>
    <n v="874000"/>
    <n v="1306400"/>
    <n v="432400"/>
    <n v="0.330985915492957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3E932-DD17-4488-9B5B-B154507EBD15}" name="TablaDinámica15" cacheId="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60:E72" firstHeaderRow="1" firstDataRow="2" firstDataCol="1"/>
  <pivotFields count="14">
    <pivotField showAll="0"/>
    <pivotField numFmtId="166" showAll="0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showAll="0"/>
    <pivotField axis="axisRow" showAll="0">
      <items count="11">
        <item x="1"/>
        <item x="3"/>
        <item x="6"/>
        <item x="8"/>
        <item x="0"/>
        <item x="4"/>
        <item x="5"/>
        <item x="2"/>
        <item x="9"/>
        <item x="7"/>
        <item t="default"/>
      </items>
    </pivotField>
    <pivotField numFmtId="3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5" showAll="0"/>
    <pivotField showAll="0" defaultSubtotal="0"/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3">
    <i>
      <x v="1"/>
    </i>
    <i>
      <x v="2"/>
    </i>
    <i t="grand">
      <x/>
    </i>
  </colItems>
  <dataFields count="1">
    <dataField name="Ventas totales por producto" fld="8" baseField="0" baseItem="0" numFmtId="164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D9817-8375-4A7F-8869-8B514EF89449}" name="TablaDinámica14" cacheId="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41:E53" firstHeaderRow="1" firstDataRow="2" firstDataCol="1"/>
  <pivotFields count="14">
    <pivotField showAll="0"/>
    <pivotField numFmtId="166" showAll="0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showAll="0"/>
    <pivotField axis="axisRow" showAll="0">
      <items count="11">
        <item x="1"/>
        <item x="3"/>
        <item x="6"/>
        <item x="8"/>
        <item x="0"/>
        <item x="4"/>
        <item x="5"/>
        <item x="2"/>
        <item x="9"/>
        <item x="7"/>
        <item t="default"/>
      </items>
    </pivotField>
    <pivotField dataField="1" numFmtId="3" showAll="0"/>
    <pivotField numFmtId="164" showAll="0"/>
    <pivotField numFmtId="164" showAll="0"/>
    <pivotField numFmtId="164" showAll="0"/>
    <pivotField numFmtId="164" showAll="0"/>
    <pivotField numFmtId="164" showAll="0"/>
    <pivotField numFmtId="165" showAll="0"/>
    <pivotField showAll="0" defaultSubtotal="0"/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3">
    <i>
      <x v="1"/>
    </i>
    <i>
      <x v="2"/>
    </i>
    <i t="grand">
      <x/>
    </i>
  </colItems>
  <dataFields count="1">
    <dataField name="Cantidades vendidas por producto" fld="4" baseField="0" baseItem="0" numFmtId="3"/>
  </dataFields>
  <formats count="1">
    <format dxfId="2">
      <pivotArea dataOnly="0" labelOnly="1" fieldPosition="0">
        <references count="1">
          <reference field="13" count="2">
            <x v="1"/>
            <x v="2"/>
          </reference>
        </references>
      </pivotArea>
    </format>
  </format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84EB8-0043-4BB1-A0AB-968558E7FF2C}" name="TablaDinámica13" cacheId="6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B23:E35" firstHeaderRow="1" firstDataRow="2" firstDataCol="1"/>
  <pivotFields count="14">
    <pivotField showAll="0"/>
    <pivotField numFmtId="166" showAll="0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showAll="0"/>
    <pivotField axis="axisRow" showAll="0">
      <items count="11">
        <item x="1"/>
        <item x="3"/>
        <item x="6"/>
        <item x="8"/>
        <item x="0"/>
        <item x="4"/>
        <item x="5"/>
        <item x="2"/>
        <item x="9"/>
        <item x="7"/>
        <item t="default"/>
      </items>
    </pivotField>
    <pivotField numFmtId="3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5" showAll="0"/>
    <pivotField showAll="0" defaultSubtotal="0"/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3">
    <i>
      <x v="1"/>
    </i>
    <i>
      <x v="2"/>
    </i>
    <i t="grand">
      <x/>
    </i>
  </colItems>
  <dataFields count="1">
    <dataField name="Ganancia Bruta por Producto" fld="9" baseField="0" baseItem="0" numFmtId="164"/>
  </dataFields>
  <formats count="1">
    <format dxfId="3">
      <pivotArea dataOnly="0" labelOnly="1" fieldPosition="0">
        <references count="1">
          <reference field="13" count="2">
            <x v="1"/>
            <x v="2"/>
          </reference>
        </references>
      </pivotArea>
    </format>
  </format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75821-E272-4A20-A1EA-B31596A3AF44}" name="TablaDinámica12" cacheId="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colHeaderCaption="">
  <location ref="B5:E17" firstHeaderRow="1" firstDataRow="2" firstDataCol="1"/>
  <pivotFields count="14">
    <pivotField showAll="0"/>
    <pivotField numFmtId="166" showAll="0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axis="axisRow" showAll="0">
      <items count="11">
        <item x="7"/>
        <item x="6"/>
        <item x="8"/>
        <item x="4"/>
        <item x="3"/>
        <item x="0"/>
        <item x="9"/>
        <item x="2"/>
        <item x="1"/>
        <item x="5"/>
        <item t="default"/>
      </items>
    </pivotField>
    <pivotField showAll="0"/>
    <pivotField numFmtId="3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5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3">
    <i>
      <x v="1"/>
    </i>
    <i>
      <x v="2"/>
    </i>
    <i t="grand">
      <x/>
    </i>
  </colItems>
  <dataFields count="1">
    <dataField name="Evolucion de ventas por cliente " fld="8" baseField="0" baseItem="0" numFmtId="164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71704C-6EA6-48F6-B9CB-EE670A867C0C}" name="Tabla1" displayName="Tabla1" ref="A1:K201" totalsRowShown="0" headerRowDxfId="4" tableBorderDxfId="5">
  <autoFilter ref="A1:K201" xr:uid="{C671704C-6EA6-48F6-B9CB-EE670A867C0C}"/>
  <tableColumns count="11">
    <tableColumn id="1" xr3:uid="{9961C9B7-07A2-4E9B-BEDA-3590A5D9B2AA}" name="ID Venta"/>
    <tableColumn id="2" xr3:uid="{08D25BAB-7F0A-4F9E-847A-3DB348675A00}" name="Fecha"/>
    <tableColumn id="3" xr3:uid="{54556D5C-1AC7-4DC3-80A6-C5C49B748809}" name="Cliente"/>
    <tableColumn id="4" xr3:uid="{95A46D89-1039-45C5-BEA4-DDB528A1B050}" name="Producto"/>
    <tableColumn id="5" xr3:uid="{5E88D5A9-B7F4-4407-AA7F-F6AE330FFFAD}" name="Cantidad"/>
    <tableColumn id="6" xr3:uid="{EA1840F1-F70B-4809-8E9E-F40326CDEF92}" name="Costo Unitario"/>
    <tableColumn id="7" xr3:uid="{51191DF8-B680-4E93-8521-15B018E59E0C}" name="Precio Unitario"/>
    <tableColumn id="8" xr3:uid="{78D46D12-AA39-4F7F-93AE-2AD90BE612F9}" name="Costo Total"/>
    <tableColumn id="9" xr3:uid="{688475F6-746A-4158-A7CB-0495DB3BFBF6}" name="Venta Total"/>
    <tableColumn id="10" xr3:uid="{20A279D8-7E3D-4D9C-92ED-1BC443B19E48}" name="Ganancia Bruta"/>
    <tableColumn id="11" xr3:uid="{3ADD9B6A-C1CC-40AB-80E3-7F58417B3450}" name="Margen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showGridLines="0" tabSelected="1" zoomScale="73" zoomScaleNormal="115" workbookViewId="0">
      <selection activeCell="H70" sqref="H70"/>
    </sheetView>
  </sheetViews>
  <sheetFormatPr baseColWidth="10" defaultColWidth="8.7265625" defaultRowHeight="14.5" x14ac:dyDescent="0.35"/>
  <cols>
    <col min="9" max="9" width="18.7265625" customWidth="1"/>
    <col min="11" max="11" width="25.7265625" customWidth="1"/>
  </cols>
  <sheetData>
    <row r="1" spans="1:16" x14ac:dyDescent="0.35">
      <c r="A1" s="38" t="s">
        <v>252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6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6" x14ac:dyDescent="0.35">
      <c r="A3" s="39" t="s">
        <v>253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6" x14ac:dyDescent="0.3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6" ht="6" customHeight="1" x14ac:dyDescent="0.3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6" s="23" customFormat="1" ht="12.5" customHeight="1" x14ac:dyDescent="0.35">
      <c r="A7" s="37" t="s">
        <v>241</v>
      </c>
      <c r="B7" s="37"/>
      <c r="C7" s="37"/>
      <c r="D7" s="37" t="s">
        <v>251</v>
      </c>
      <c r="E7" s="37"/>
      <c r="F7" s="37"/>
      <c r="G7" s="37" t="s">
        <v>250</v>
      </c>
      <c r="H7" s="37"/>
      <c r="I7" s="37"/>
      <c r="J7" s="37" t="s">
        <v>249</v>
      </c>
      <c r="K7" s="37"/>
    </row>
    <row r="8" spans="1:16" x14ac:dyDescent="0.35">
      <c r="A8" s="16" t="str">
        <f>Analisis!B28</f>
        <v>Producto D - Pintura Latex 20L</v>
      </c>
      <c r="B8" s="16"/>
      <c r="C8" s="16"/>
      <c r="D8" s="16" t="str">
        <f>Analisis!B14</f>
        <v>Inmobiliaria del Valle</v>
      </c>
      <c r="E8" s="16"/>
      <c r="F8" s="16"/>
      <c r="G8" s="16">
        <f>GETPIVOTDATA("Cantidad",Analisis!$B$41,"Años (Fecha)",2025)-GETPIVOTDATA("Cantidad",Analisis!$B$41,"Años (Fecha)",2024)</f>
        <v>1746</v>
      </c>
      <c r="H8" s="16"/>
      <c r="I8" s="16"/>
      <c r="J8" s="36">
        <f>GETPIVOTDATA("Ganancia Bruta",Analisis!$B$23,"Años (Fecha)",2024)/GETPIVOTDATA("Ganancia Bruta",Analisis!$B$23,"Años (Fecha)",2025)</f>
        <v>0.72621069104604519</v>
      </c>
      <c r="K8" s="36"/>
    </row>
    <row r="9" spans="1:16" x14ac:dyDescent="0.35">
      <c r="A9" s="16"/>
      <c r="B9" s="16"/>
      <c r="C9" s="16"/>
      <c r="D9" s="16"/>
      <c r="E9" s="16"/>
      <c r="F9" s="16"/>
      <c r="G9" s="16"/>
      <c r="H9" s="16"/>
      <c r="I9" s="16"/>
      <c r="J9" s="36"/>
      <c r="K9" s="36"/>
    </row>
    <row r="10" spans="1:16" x14ac:dyDescent="0.35">
      <c r="A10" s="15"/>
      <c r="B10" s="15"/>
      <c r="C10" s="15"/>
      <c r="D10" s="22"/>
      <c r="E10" s="22"/>
      <c r="F10" s="22"/>
      <c r="G10" s="15"/>
      <c r="H10" s="15"/>
      <c r="I10" s="15"/>
      <c r="J10" s="15"/>
      <c r="K10" s="15"/>
    </row>
    <row r="11" spans="1:16" ht="15" thickBot="1" x14ac:dyDescent="0.4"/>
    <row r="12" spans="1:16" ht="14.5" customHeight="1" x14ac:dyDescent="0.35">
      <c r="A12" s="24" t="s">
        <v>245</v>
      </c>
      <c r="B12" s="25"/>
      <c r="C12" s="25"/>
      <c r="D12" s="25"/>
      <c r="E12" s="25"/>
      <c r="F12" s="25"/>
      <c r="G12" s="25"/>
      <c r="H12" s="26"/>
      <c r="J12" s="24" t="s">
        <v>246</v>
      </c>
      <c r="K12" s="25"/>
      <c r="L12" s="25"/>
      <c r="M12" s="25"/>
      <c r="N12" s="25"/>
      <c r="O12" s="25"/>
      <c r="P12" s="26"/>
    </row>
    <row r="13" spans="1:16" ht="15" thickBot="1" x14ac:dyDescent="0.4">
      <c r="A13" s="27"/>
      <c r="B13" s="28"/>
      <c r="C13" s="28"/>
      <c r="D13" s="28"/>
      <c r="E13" s="28"/>
      <c r="F13" s="28"/>
      <c r="G13" s="28"/>
      <c r="H13" s="29"/>
      <c r="J13" s="27"/>
      <c r="K13" s="28"/>
      <c r="L13" s="28"/>
      <c r="M13" s="28"/>
      <c r="N13" s="28"/>
      <c r="O13" s="28"/>
      <c r="P13" s="29"/>
    </row>
    <row r="32" ht="15" thickBot="1" x14ac:dyDescent="0.4"/>
    <row r="33" spans="1:17" x14ac:dyDescent="0.35">
      <c r="A33" s="24" t="s">
        <v>247</v>
      </c>
      <c r="B33" s="25"/>
      <c r="C33" s="25"/>
      <c r="D33" s="25"/>
      <c r="E33" s="25"/>
      <c r="F33" s="25"/>
      <c r="G33" s="25"/>
      <c r="H33" s="26"/>
      <c r="J33" s="30" t="s">
        <v>248</v>
      </c>
      <c r="K33" s="31"/>
      <c r="L33" s="31"/>
      <c r="M33" s="31"/>
      <c r="N33" s="31"/>
      <c r="O33" s="31"/>
      <c r="P33" s="31"/>
      <c r="Q33" s="32"/>
    </row>
    <row r="34" spans="1:17" ht="15" thickBot="1" x14ac:dyDescent="0.4">
      <c r="A34" s="27"/>
      <c r="B34" s="28"/>
      <c r="C34" s="28"/>
      <c r="D34" s="28"/>
      <c r="E34" s="28"/>
      <c r="F34" s="28"/>
      <c r="G34" s="28"/>
      <c r="H34" s="29"/>
      <c r="J34" s="33"/>
      <c r="K34" s="34"/>
      <c r="L34" s="34"/>
      <c r="M34" s="34"/>
      <c r="N34" s="34"/>
      <c r="O34" s="34"/>
      <c r="P34" s="34"/>
      <c r="Q34" s="35"/>
    </row>
    <row r="56" spans="3:4" x14ac:dyDescent="0.35">
      <c r="C56" t="s">
        <v>254</v>
      </c>
    </row>
    <row r="57" spans="3:4" x14ac:dyDescent="0.35">
      <c r="C57" s="20" t="s">
        <v>255</v>
      </c>
      <c r="D57" t="s">
        <v>258</v>
      </c>
    </row>
    <row r="58" spans="3:4" x14ac:dyDescent="0.35">
      <c r="C58" s="20" t="s">
        <v>256</v>
      </c>
      <c r="D58" t="s">
        <v>259</v>
      </c>
    </row>
    <row r="59" spans="3:4" x14ac:dyDescent="0.35">
      <c r="C59" s="20" t="s">
        <v>257</v>
      </c>
      <c r="D59" t="s">
        <v>260</v>
      </c>
    </row>
  </sheetData>
  <mergeCells count="18">
    <mergeCell ref="A12:H13"/>
    <mergeCell ref="J12:P13"/>
    <mergeCell ref="A33:H34"/>
    <mergeCell ref="J33:Q34"/>
    <mergeCell ref="A10:C10"/>
    <mergeCell ref="D10:F10"/>
    <mergeCell ref="G10:I10"/>
    <mergeCell ref="J10:K10"/>
    <mergeCell ref="A7:C7"/>
    <mergeCell ref="D7:F7"/>
    <mergeCell ref="G7:I7"/>
    <mergeCell ref="J7:K7"/>
    <mergeCell ref="A1:K2"/>
    <mergeCell ref="A8:C9"/>
    <mergeCell ref="D8:F9"/>
    <mergeCell ref="G8:I9"/>
    <mergeCell ref="J8:K9"/>
    <mergeCell ref="A3:K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61DF-2BD8-468D-B5ED-23E2DB630E69}">
  <dimension ref="B2:E75"/>
  <sheetViews>
    <sheetView showGridLines="0" topLeftCell="A22" zoomScaleNormal="100" workbookViewId="0">
      <selection activeCell="B61" sqref="B61"/>
    </sheetView>
  </sheetViews>
  <sheetFormatPr baseColWidth="10" defaultRowHeight="14.5" x14ac:dyDescent="0.35"/>
  <cols>
    <col min="2" max="2" width="29.90625" bestFit="1" customWidth="1"/>
    <col min="3" max="4" width="21.08984375" bestFit="1" customWidth="1"/>
    <col min="5" max="5" width="18.08984375" bestFit="1" customWidth="1"/>
    <col min="6" max="6" width="11.90625" bestFit="1" customWidth="1"/>
    <col min="7" max="174" width="10.453125" bestFit="1" customWidth="1"/>
    <col min="175" max="176" width="11.90625" bestFit="1" customWidth="1"/>
  </cols>
  <sheetData>
    <row r="2" spans="2:5" ht="14.5" customHeight="1" x14ac:dyDescent="0.35">
      <c r="B2" s="17" t="s">
        <v>236</v>
      </c>
      <c r="C2" s="17"/>
      <c r="D2" s="17"/>
      <c r="E2" s="17"/>
    </row>
    <row r="3" spans="2:5" ht="14.5" customHeight="1" x14ac:dyDescent="0.35">
      <c r="B3" s="17"/>
      <c r="C3" s="17"/>
      <c r="D3" s="17"/>
      <c r="E3" s="17"/>
    </row>
    <row r="5" spans="2:5" x14ac:dyDescent="0.35">
      <c r="B5" s="13" t="s">
        <v>242</v>
      </c>
      <c r="C5" s="13" t="s">
        <v>237</v>
      </c>
    </row>
    <row r="6" spans="2:5" x14ac:dyDescent="0.35">
      <c r="B6" s="13" t="s">
        <v>231</v>
      </c>
      <c r="C6" t="s">
        <v>233</v>
      </c>
      <c r="D6" t="s">
        <v>234</v>
      </c>
      <c r="E6" t="s">
        <v>232</v>
      </c>
    </row>
    <row r="7" spans="2:5" x14ac:dyDescent="0.35">
      <c r="B7" s="14" t="s">
        <v>43</v>
      </c>
      <c r="C7" s="12">
        <v>10718510</v>
      </c>
      <c r="D7" s="12">
        <v>8438350</v>
      </c>
      <c r="E7" s="12">
        <v>19156860</v>
      </c>
    </row>
    <row r="8" spans="2:5" x14ac:dyDescent="0.35">
      <c r="B8" s="14" t="s">
        <v>36</v>
      </c>
      <c r="C8" s="12">
        <v>12970500</v>
      </c>
      <c r="D8" s="12">
        <v>4128400</v>
      </c>
      <c r="E8" s="12">
        <v>17098900</v>
      </c>
    </row>
    <row r="9" spans="2:5" x14ac:dyDescent="0.35">
      <c r="B9" s="14" t="s">
        <v>48</v>
      </c>
      <c r="C9" s="12">
        <v>4031200</v>
      </c>
      <c r="D9" s="12">
        <v>5510760</v>
      </c>
      <c r="E9" s="12">
        <v>9541960</v>
      </c>
    </row>
    <row r="10" spans="2:5" x14ac:dyDescent="0.35">
      <c r="B10" s="14" t="s">
        <v>31</v>
      </c>
      <c r="C10" s="12">
        <v>5618950</v>
      </c>
      <c r="D10" s="12">
        <v>10167090</v>
      </c>
      <c r="E10" s="12">
        <v>15786040</v>
      </c>
    </row>
    <row r="11" spans="2:5" x14ac:dyDescent="0.35">
      <c r="B11" s="14" t="s">
        <v>28</v>
      </c>
      <c r="C11" s="12">
        <v>3996340</v>
      </c>
      <c r="D11" s="12">
        <v>7769210</v>
      </c>
      <c r="E11" s="12">
        <v>11765550</v>
      </c>
    </row>
    <row r="12" spans="2:5" x14ac:dyDescent="0.35">
      <c r="B12" s="14" t="s">
        <v>22</v>
      </c>
      <c r="C12" s="12">
        <v>3437000</v>
      </c>
      <c r="D12" s="12">
        <v>11416000</v>
      </c>
      <c r="E12" s="12">
        <v>14853000</v>
      </c>
    </row>
    <row r="13" spans="2:5" x14ac:dyDescent="0.35">
      <c r="B13" s="14" t="s">
        <v>56</v>
      </c>
      <c r="C13" s="12">
        <v>984580</v>
      </c>
      <c r="D13" s="12">
        <v>4777400</v>
      </c>
      <c r="E13" s="12">
        <v>5761980</v>
      </c>
    </row>
    <row r="14" spans="2:5" x14ac:dyDescent="0.35">
      <c r="B14" s="14" t="s">
        <v>26</v>
      </c>
      <c r="C14" s="12">
        <v>5290280</v>
      </c>
      <c r="D14" s="12">
        <v>11840160</v>
      </c>
      <c r="E14" s="12">
        <v>17130440</v>
      </c>
    </row>
    <row r="15" spans="2:5" x14ac:dyDescent="0.35">
      <c r="B15" s="14" t="s">
        <v>24</v>
      </c>
      <c r="C15" s="12">
        <v>9920300</v>
      </c>
      <c r="D15" s="12">
        <v>8600090</v>
      </c>
      <c r="E15" s="12">
        <v>18520390</v>
      </c>
    </row>
    <row r="16" spans="2:5" x14ac:dyDescent="0.35">
      <c r="B16" s="14" t="s">
        <v>33</v>
      </c>
      <c r="C16" s="12">
        <v>4801980</v>
      </c>
      <c r="D16" s="12">
        <v>11711630</v>
      </c>
      <c r="E16" s="12">
        <v>16513610</v>
      </c>
    </row>
    <row r="17" spans="2:5" x14ac:dyDescent="0.35">
      <c r="B17" s="14" t="s">
        <v>232</v>
      </c>
      <c r="C17" s="12">
        <v>61769640</v>
      </c>
      <c r="D17" s="12">
        <v>84359090</v>
      </c>
      <c r="E17" s="12">
        <v>146128730</v>
      </c>
    </row>
    <row r="20" spans="2:5" x14ac:dyDescent="0.35">
      <c r="B20" s="19" t="s">
        <v>239</v>
      </c>
      <c r="C20" s="19"/>
      <c r="D20" s="19"/>
      <c r="E20" s="19"/>
    </row>
    <row r="21" spans="2:5" x14ac:dyDescent="0.35">
      <c r="B21" s="19"/>
      <c r="C21" s="19"/>
      <c r="D21" s="19"/>
      <c r="E21" s="19"/>
    </row>
    <row r="23" spans="2:5" x14ac:dyDescent="0.35">
      <c r="B23" s="13" t="s">
        <v>239</v>
      </c>
      <c r="C23" s="13" t="s">
        <v>235</v>
      </c>
    </row>
    <row r="24" spans="2:5" x14ac:dyDescent="0.35">
      <c r="B24" s="13" t="s">
        <v>231</v>
      </c>
      <c r="C24" s="20" t="s">
        <v>233</v>
      </c>
      <c r="D24" s="20" t="s">
        <v>234</v>
      </c>
      <c r="E24" t="s">
        <v>232</v>
      </c>
    </row>
    <row r="25" spans="2:5" x14ac:dyDescent="0.35">
      <c r="B25" s="14" t="s">
        <v>3</v>
      </c>
      <c r="C25" s="12">
        <v>1666000</v>
      </c>
      <c r="D25" s="12">
        <v>1922700</v>
      </c>
      <c r="E25" s="12">
        <v>3588700</v>
      </c>
    </row>
    <row r="26" spans="2:5" x14ac:dyDescent="0.35">
      <c r="B26" s="14" t="s">
        <v>4</v>
      </c>
      <c r="C26" s="12">
        <v>2286000</v>
      </c>
      <c r="D26" s="12">
        <v>1980000</v>
      </c>
      <c r="E26" s="12">
        <v>4266000</v>
      </c>
    </row>
    <row r="27" spans="2:5" x14ac:dyDescent="0.35">
      <c r="B27" s="14" t="s">
        <v>5</v>
      </c>
      <c r="C27" s="12">
        <v>56420</v>
      </c>
      <c r="D27" s="12">
        <v>50470</v>
      </c>
      <c r="E27" s="12">
        <v>106890</v>
      </c>
    </row>
    <row r="28" spans="2:5" x14ac:dyDescent="0.35">
      <c r="B28" s="14" t="s">
        <v>6</v>
      </c>
      <c r="C28" s="12">
        <v>6383000</v>
      </c>
      <c r="D28" s="12">
        <v>8541000</v>
      </c>
      <c r="E28" s="12">
        <v>14924000</v>
      </c>
    </row>
    <row r="29" spans="2:5" x14ac:dyDescent="0.35">
      <c r="B29" s="14" t="s">
        <v>7</v>
      </c>
      <c r="C29" s="12">
        <v>671000</v>
      </c>
      <c r="D29" s="12">
        <v>1463000</v>
      </c>
      <c r="E29" s="12">
        <v>2134000</v>
      </c>
    </row>
    <row r="30" spans="2:5" x14ac:dyDescent="0.35">
      <c r="B30" s="14" t="s">
        <v>8</v>
      </c>
      <c r="C30" s="12">
        <v>2561500</v>
      </c>
      <c r="D30" s="12">
        <v>4582500</v>
      </c>
      <c r="E30" s="12">
        <v>7144000</v>
      </c>
    </row>
    <row r="31" spans="2:5" x14ac:dyDescent="0.35">
      <c r="B31" s="14" t="s">
        <v>9</v>
      </c>
      <c r="C31" s="12">
        <v>1265400</v>
      </c>
      <c r="D31" s="12">
        <v>2220000</v>
      </c>
      <c r="E31" s="12">
        <v>3485400</v>
      </c>
    </row>
    <row r="32" spans="2:5" x14ac:dyDescent="0.35">
      <c r="B32" s="14" t="s">
        <v>10</v>
      </c>
      <c r="C32" s="12">
        <v>1576800</v>
      </c>
      <c r="D32" s="12">
        <v>1722600</v>
      </c>
      <c r="E32" s="12">
        <v>3299400</v>
      </c>
    </row>
    <row r="33" spans="2:5" x14ac:dyDescent="0.35">
      <c r="B33" s="14" t="s">
        <v>11</v>
      </c>
      <c r="C33" s="12">
        <v>3247000</v>
      </c>
      <c r="D33" s="12">
        <v>3051500</v>
      </c>
      <c r="E33" s="12">
        <v>6298500</v>
      </c>
    </row>
    <row r="34" spans="2:5" x14ac:dyDescent="0.35">
      <c r="B34" s="14" t="s">
        <v>12</v>
      </c>
      <c r="C34" s="12">
        <v>691200</v>
      </c>
      <c r="D34" s="12">
        <v>2563200</v>
      </c>
      <c r="E34" s="12">
        <v>3254400</v>
      </c>
    </row>
    <row r="35" spans="2:5" x14ac:dyDescent="0.35">
      <c r="B35" s="14" t="s">
        <v>232</v>
      </c>
      <c r="C35" s="12">
        <v>20404320</v>
      </c>
      <c r="D35" s="12">
        <v>28096970</v>
      </c>
      <c r="E35" s="12">
        <v>48501290</v>
      </c>
    </row>
    <row r="37" spans="2:5" x14ac:dyDescent="0.35">
      <c r="B37" s="19" t="s">
        <v>238</v>
      </c>
      <c r="C37" s="19"/>
      <c r="D37" s="19"/>
      <c r="E37" s="19"/>
    </row>
    <row r="38" spans="2:5" x14ac:dyDescent="0.35">
      <c r="B38" s="19"/>
      <c r="C38" s="19"/>
      <c r="D38" s="19"/>
      <c r="E38" s="19"/>
    </row>
    <row r="41" spans="2:5" x14ac:dyDescent="0.35">
      <c r="B41" s="13" t="s">
        <v>243</v>
      </c>
      <c r="C41" s="13" t="s">
        <v>235</v>
      </c>
    </row>
    <row r="42" spans="2:5" x14ac:dyDescent="0.35">
      <c r="B42" s="13" t="s">
        <v>231</v>
      </c>
      <c r="C42" s="20" t="s">
        <v>233</v>
      </c>
      <c r="D42" s="20" t="s">
        <v>234</v>
      </c>
      <c r="E42" t="s">
        <v>232</v>
      </c>
    </row>
    <row r="43" spans="2:5" x14ac:dyDescent="0.35">
      <c r="B43" s="14" t="s">
        <v>3</v>
      </c>
      <c r="C43" s="18">
        <v>980</v>
      </c>
      <c r="D43" s="18">
        <v>1131</v>
      </c>
      <c r="E43" s="18">
        <v>2111</v>
      </c>
    </row>
    <row r="44" spans="2:5" x14ac:dyDescent="0.35">
      <c r="B44" s="14" t="s">
        <v>4</v>
      </c>
      <c r="C44" s="18">
        <v>635</v>
      </c>
      <c r="D44" s="18">
        <v>550</v>
      </c>
      <c r="E44" s="18">
        <v>1185</v>
      </c>
    </row>
    <row r="45" spans="2:5" x14ac:dyDescent="0.35">
      <c r="B45" s="14" t="s">
        <v>5</v>
      </c>
      <c r="C45" s="18">
        <v>806</v>
      </c>
      <c r="D45" s="18">
        <v>721</v>
      </c>
      <c r="E45" s="18">
        <v>1527</v>
      </c>
    </row>
    <row r="46" spans="2:5" x14ac:dyDescent="0.35">
      <c r="B46" s="14" t="s">
        <v>6</v>
      </c>
      <c r="C46" s="18">
        <v>491</v>
      </c>
      <c r="D46" s="18">
        <v>657</v>
      </c>
      <c r="E46" s="18">
        <v>1148</v>
      </c>
    </row>
    <row r="47" spans="2:5" x14ac:dyDescent="0.35">
      <c r="B47" s="14" t="s">
        <v>7</v>
      </c>
      <c r="C47" s="18">
        <v>305</v>
      </c>
      <c r="D47" s="18">
        <v>665</v>
      </c>
      <c r="E47" s="18">
        <v>970</v>
      </c>
    </row>
    <row r="48" spans="2:5" x14ac:dyDescent="0.35">
      <c r="B48" s="14" t="s">
        <v>8</v>
      </c>
      <c r="C48" s="18">
        <v>545</v>
      </c>
      <c r="D48" s="18">
        <v>975</v>
      </c>
      <c r="E48" s="18">
        <v>1520</v>
      </c>
    </row>
    <row r="49" spans="2:5" x14ac:dyDescent="0.35">
      <c r="B49" s="14" t="s">
        <v>9</v>
      </c>
      <c r="C49" s="18">
        <v>342</v>
      </c>
      <c r="D49" s="18">
        <v>600</v>
      </c>
      <c r="E49" s="18">
        <v>942</v>
      </c>
    </row>
    <row r="50" spans="2:5" x14ac:dyDescent="0.35">
      <c r="B50" s="14" t="s">
        <v>10</v>
      </c>
      <c r="C50" s="18">
        <v>584</v>
      </c>
      <c r="D50" s="18">
        <v>638</v>
      </c>
      <c r="E50" s="18">
        <v>1222</v>
      </c>
    </row>
    <row r="51" spans="2:5" x14ac:dyDescent="0.35">
      <c r="B51" s="14" t="s">
        <v>11</v>
      </c>
      <c r="C51" s="18">
        <v>382</v>
      </c>
      <c r="D51" s="18">
        <v>359</v>
      </c>
      <c r="E51" s="18">
        <v>741</v>
      </c>
    </row>
    <row r="52" spans="2:5" x14ac:dyDescent="0.35">
      <c r="B52" s="14" t="s">
        <v>12</v>
      </c>
      <c r="C52" s="18">
        <v>192</v>
      </c>
      <c r="D52" s="18">
        <v>712</v>
      </c>
      <c r="E52" s="18">
        <v>904</v>
      </c>
    </row>
    <row r="53" spans="2:5" x14ac:dyDescent="0.35">
      <c r="B53" s="14" t="s">
        <v>232</v>
      </c>
      <c r="C53" s="18">
        <v>5262</v>
      </c>
      <c r="D53" s="18">
        <v>7008</v>
      </c>
      <c r="E53" s="18">
        <v>12270</v>
      </c>
    </row>
    <row r="56" spans="2:5" x14ac:dyDescent="0.35">
      <c r="B56" s="19" t="s">
        <v>240</v>
      </c>
      <c r="C56" s="19"/>
      <c r="D56" s="19"/>
      <c r="E56" s="19"/>
    </row>
    <row r="57" spans="2:5" x14ac:dyDescent="0.35">
      <c r="B57" s="19"/>
      <c r="C57" s="19"/>
      <c r="D57" s="19"/>
      <c r="E57" s="19"/>
    </row>
    <row r="60" spans="2:5" x14ac:dyDescent="0.35">
      <c r="B60" s="13" t="s">
        <v>244</v>
      </c>
      <c r="C60" s="13" t="s">
        <v>235</v>
      </c>
    </row>
    <row r="61" spans="2:5" x14ac:dyDescent="0.35">
      <c r="B61" s="13" t="s">
        <v>231</v>
      </c>
      <c r="C61" t="s">
        <v>233</v>
      </c>
      <c r="D61" t="s">
        <v>234</v>
      </c>
      <c r="E61" t="s">
        <v>232</v>
      </c>
    </row>
    <row r="62" spans="2:5" x14ac:dyDescent="0.35">
      <c r="B62" s="14" t="s">
        <v>3</v>
      </c>
      <c r="C62" s="12">
        <v>5096000</v>
      </c>
      <c r="D62" s="12">
        <v>5881200</v>
      </c>
      <c r="E62" s="12">
        <v>10977200</v>
      </c>
    </row>
    <row r="63" spans="2:5" x14ac:dyDescent="0.35">
      <c r="B63" s="14" t="s">
        <v>4</v>
      </c>
      <c r="C63" s="12">
        <v>7493000</v>
      </c>
      <c r="D63" s="12">
        <v>6490000</v>
      </c>
      <c r="E63" s="12">
        <v>13983000</v>
      </c>
    </row>
    <row r="64" spans="2:5" x14ac:dyDescent="0.35">
      <c r="B64" s="14" t="s">
        <v>5</v>
      </c>
      <c r="C64" s="12">
        <v>153140</v>
      </c>
      <c r="D64" s="12">
        <v>136990</v>
      </c>
      <c r="E64" s="12">
        <v>290130</v>
      </c>
    </row>
    <row r="65" spans="2:5" x14ac:dyDescent="0.35">
      <c r="B65" s="14" t="s">
        <v>6</v>
      </c>
      <c r="C65" s="12">
        <v>18658000</v>
      </c>
      <c r="D65" s="12">
        <v>24966000</v>
      </c>
      <c r="E65" s="12">
        <v>43624000</v>
      </c>
    </row>
    <row r="66" spans="2:5" x14ac:dyDescent="0.35">
      <c r="B66" s="14" t="s">
        <v>7</v>
      </c>
      <c r="C66" s="12">
        <v>1921500</v>
      </c>
      <c r="D66" s="12">
        <v>4189500</v>
      </c>
      <c r="E66" s="12">
        <v>6111000</v>
      </c>
    </row>
    <row r="67" spans="2:5" x14ac:dyDescent="0.35">
      <c r="B67" s="14" t="s">
        <v>8</v>
      </c>
      <c r="C67" s="12">
        <v>7739000</v>
      </c>
      <c r="D67" s="12">
        <v>13845000</v>
      </c>
      <c r="E67" s="12">
        <v>21584000</v>
      </c>
    </row>
    <row r="68" spans="2:5" x14ac:dyDescent="0.35">
      <c r="B68" s="14" t="s">
        <v>9</v>
      </c>
      <c r="C68" s="12">
        <v>3591000</v>
      </c>
      <c r="D68" s="12">
        <v>6300000</v>
      </c>
      <c r="E68" s="12">
        <v>9891000</v>
      </c>
    </row>
    <row r="69" spans="2:5" x14ac:dyDescent="0.35">
      <c r="B69" s="14" t="s">
        <v>10</v>
      </c>
      <c r="C69" s="12">
        <v>4730400</v>
      </c>
      <c r="D69" s="12">
        <v>5167800</v>
      </c>
      <c r="E69" s="12">
        <v>9898200</v>
      </c>
    </row>
    <row r="70" spans="2:5" x14ac:dyDescent="0.35">
      <c r="B70" s="14" t="s">
        <v>11</v>
      </c>
      <c r="C70" s="12">
        <v>10314000</v>
      </c>
      <c r="D70" s="12">
        <v>9693000</v>
      </c>
      <c r="E70" s="12">
        <v>20007000</v>
      </c>
    </row>
    <row r="71" spans="2:5" x14ac:dyDescent="0.35">
      <c r="B71" s="14" t="s">
        <v>12</v>
      </c>
      <c r="C71" s="12">
        <v>2073600</v>
      </c>
      <c r="D71" s="12">
        <v>7689600</v>
      </c>
      <c r="E71" s="12">
        <v>9763200</v>
      </c>
    </row>
    <row r="72" spans="2:5" x14ac:dyDescent="0.35">
      <c r="B72" s="14" t="s">
        <v>232</v>
      </c>
      <c r="C72" s="12">
        <v>61769640</v>
      </c>
      <c r="D72" s="12">
        <v>84359090</v>
      </c>
      <c r="E72" s="12">
        <v>146128730</v>
      </c>
    </row>
    <row r="75" spans="2:5" ht="20.5" customHeight="1" x14ac:dyDescent="0.35"/>
  </sheetData>
  <mergeCells count="4">
    <mergeCell ref="B2:E3"/>
    <mergeCell ref="B20:E21"/>
    <mergeCell ref="B37:E38"/>
    <mergeCell ref="B56:E57"/>
  </mergeCell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1"/>
  <sheetViews>
    <sheetView workbookViewId="0">
      <pane ySplit="1" topLeftCell="A170" activePane="bottomLeft" state="frozen"/>
      <selection pane="bottomLeft" activeCell="D202" sqref="A202:XFD202"/>
    </sheetView>
  </sheetViews>
  <sheetFormatPr baseColWidth="10" defaultColWidth="8.7265625" defaultRowHeight="14.5" x14ac:dyDescent="0.35"/>
  <cols>
    <col min="1" max="1" width="12" customWidth="1"/>
    <col min="2" max="2" width="14" customWidth="1"/>
    <col min="3" max="3" width="29" customWidth="1"/>
    <col min="4" max="4" width="34" customWidth="1"/>
    <col min="5" max="5" width="12" customWidth="1"/>
    <col min="6" max="6" width="18" customWidth="1"/>
    <col min="7" max="7" width="19" customWidth="1"/>
    <col min="8" max="9" width="15" customWidth="1"/>
    <col min="10" max="10" width="18" customWidth="1"/>
    <col min="11" max="11" width="12.453125" customWidth="1"/>
  </cols>
  <sheetData>
    <row r="1" spans="1:11" ht="16.5" x14ac:dyDescent="0.35">
      <c r="A1" s="2" t="s">
        <v>13</v>
      </c>
      <c r="B1" s="2" t="s">
        <v>14</v>
      </c>
      <c r="C1" s="2" t="s">
        <v>15</v>
      </c>
      <c r="D1" s="2" t="s">
        <v>2</v>
      </c>
      <c r="E1" s="2" t="s">
        <v>16</v>
      </c>
      <c r="F1" s="2" t="s">
        <v>17</v>
      </c>
      <c r="G1" s="2" t="s">
        <v>18</v>
      </c>
      <c r="H1" s="2" t="s">
        <v>0</v>
      </c>
      <c r="I1" s="2" t="s">
        <v>19</v>
      </c>
      <c r="J1" s="2" t="s">
        <v>1</v>
      </c>
      <c r="K1" s="2" t="s">
        <v>20</v>
      </c>
    </row>
    <row r="2" spans="1:11" ht="16" x14ac:dyDescent="0.45">
      <c r="A2" s="3" t="s">
        <v>21</v>
      </c>
      <c r="B2" s="4">
        <v>45307</v>
      </c>
      <c r="C2" s="3" t="s">
        <v>22</v>
      </c>
      <c r="D2" s="3" t="s">
        <v>7</v>
      </c>
      <c r="E2" s="5">
        <v>24</v>
      </c>
      <c r="F2" s="6">
        <v>4100</v>
      </c>
      <c r="G2" s="6">
        <v>6300</v>
      </c>
      <c r="H2" s="6">
        <f t="shared" ref="H2:H33" si="0">E2*F2</f>
        <v>98400</v>
      </c>
      <c r="I2" s="6">
        <f t="shared" ref="I2:I33" si="1">E2*G2</f>
        <v>151200</v>
      </c>
      <c r="J2" s="6">
        <f t="shared" ref="J2:J33" si="2">I2-H2</f>
        <v>52800</v>
      </c>
      <c r="K2" s="7">
        <f t="shared" ref="K2:K33" si="3">IF(I2&gt;0, J2/I2, 0)</f>
        <v>0.34920634920634919</v>
      </c>
    </row>
    <row r="3" spans="1:11" ht="16" x14ac:dyDescent="0.45">
      <c r="A3" s="1" t="s">
        <v>23</v>
      </c>
      <c r="B3" s="8">
        <v>45310</v>
      </c>
      <c r="C3" s="1" t="s">
        <v>24</v>
      </c>
      <c r="D3" s="1" t="s">
        <v>3</v>
      </c>
      <c r="E3" s="9">
        <v>96</v>
      </c>
      <c r="F3" s="10">
        <v>3500</v>
      </c>
      <c r="G3" s="10">
        <v>5200</v>
      </c>
      <c r="H3" s="10">
        <f t="shared" si="0"/>
        <v>336000</v>
      </c>
      <c r="I3" s="10">
        <f t="shared" si="1"/>
        <v>499200</v>
      </c>
      <c r="J3" s="10">
        <f t="shared" si="2"/>
        <v>163200</v>
      </c>
      <c r="K3" s="11">
        <f t="shared" si="3"/>
        <v>0.32692307692307693</v>
      </c>
    </row>
    <row r="4" spans="1:11" ht="16" x14ac:dyDescent="0.45">
      <c r="A4" s="3" t="s">
        <v>25</v>
      </c>
      <c r="B4" s="4">
        <v>45319</v>
      </c>
      <c r="C4" s="3" t="s">
        <v>26</v>
      </c>
      <c r="D4" s="3" t="s">
        <v>10</v>
      </c>
      <c r="E4" s="5">
        <v>76</v>
      </c>
      <c r="F4" s="6">
        <v>5400</v>
      </c>
      <c r="G4" s="6">
        <v>8100</v>
      </c>
      <c r="H4" s="6">
        <f t="shared" si="0"/>
        <v>410400</v>
      </c>
      <c r="I4" s="6">
        <f t="shared" si="1"/>
        <v>615600</v>
      </c>
      <c r="J4" s="6">
        <f t="shared" si="2"/>
        <v>205200</v>
      </c>
      <c r="K4" s="7">
        <f t="shared" si="3"/>
        <v>0.33333333333333331</v>
      </c>
    </row>
    <row r="5" spans="1:11" ht="16" x14ac:dyDescent="0.45">
      <c r="A5" s="1" t="s">
        <v>27</v>
      </c>
      <c r="B5" s="8">
        <v>45320</v>
      </c>
      <c r="C5" s="1" t="s">
        <v>28</v>
      </c>
      <c r="D5" s="1" t="s">
        <v>3</v>
      </c>
      <c r="E5" s="9">
        <v>65</v>
      </c>
      <c r="F5" s="10">
        <v>3500</v>
      </c>
      <c r="G5" s="10">
        <v>5200</v>
      </c>
      <c r="H5" s="10">
        <f t="shared" si="0"/>
        <v>227500</v>
      </c>
      <c r="I5" s="10">
        <f t="shared" si="1"/>
        <v>338000</v>
      </c>
      <c r="J5" s="10">
        <f t="shared" si="2"/>
        <v>110500</v>
      </c>
      <c r="K5" s="11">
        <f t="shared" si="3"/>
        <v>0.32692307692307693</v>
      </c>
    </row>
    <row r="6" spans="1:11" ht="16" x14ac:dyDescent="0.45">
      <c r="A6" s="3" t="s">
        <v>29</v>
      </c>
      <c r="B6" s="4">
        <v>45320</v>
      </c>
      <c r="C6" s="3" t="s">
        <v>22</v>
      </c>
      <c r="D6" s="3" t="s">
        <v>3</v>
      </c>
      <c r="E6" s="5">
        <v>109</v>
      </c>
      <c r="F6" s="6">
        <v>3500</v>
      </c>
      <c r="G6" s="6">
        <v>5200</v>
      </c>
      <c r="H6" s="6">
        <f t="shared" si="0"/>
        <v>381500</v>
      </c>
      <c r="I6" s="6">
        <f t="shared" si="1"/>
        <v>566800</v>
      </c>
      <c r="J6" s="6">
        <f t="shared" si="2"/>
        <v>185300</v>
      </c>
      <c r="K6" s="7">
        <f t="shared" si="3"/>
        <v>0.32692307692307693</v>
      </c>
    </row>
    <row r="7" spans="1:11" ht="16" x14ac:dyDescent="0.45">
      <c r="A7" s="1" t="s">
        <v>30</v>
      </c>
      <c r="B7" s="8">
        <v>45326</v>
      </c>
      <c r="C7" s="1" t="s">
        <v>31</v>
      </c>
      <c r="D7" s="1" t="s">
        <v>4</v>
      </c>
      <c r="E7" s="9">
        <v>43</v>
      </c>
      <c r="F7" s="10">
        <v>8200</v>
      </c>
      <c r="G7" s="10">
        <v>11800</v>
      </c>
      <c r="H7" s="10">
        <f t="shared" si="0"/>
        <v>352600</v>
      </c>
      <c r="I7" s="10">
        <f t="shared" si="1"/>
        <v>507400</v>
      </c>
      <c r="J7" s="10">
        <f t="shared" si="2"/>
        <v>154800</v>
      </c>
      <c r="K7" s="11">
        <f t="shared" si="3"/>
        <v>0.30508474576271188</v>
      </c>
    </row>
    <row r="8" spans="1:11" ht="16" x14ac:dyDescent="0.45">
      <c r="A8" s="3" t="s">
        <v>32</v>
      </c>
      <c r="B8" s="4">
        <v>45326</v>
      </c>
      <c r="C8" s="3" t="s">
        <v>33</v>
      </c>
      <c r="D8" s="3" t="s">
        <v>4</v>
      </c>
      <c r="E8" s="5">
        <v>5</v>
      </c>
      <c r="F8" s="6">
        <v>8200</v>
      </c>
      <c r="G8" s="6">
        <v>11800</v>
      </c>
      <c r="H8" s="6">
        <f t="shared" si="0"/>
        <v>41000</v>
      </c>
      <c r="I8" s="6">
        <f t="shared" si="1"/>
        <v>59000</v>
      </c>
      <c r="J8" s="6">
        <f t="shared" si="2"/>
        <v>18000</v>
      </c>
      <c r="K8" s="7">
        <f t="shared" si="3"/>
        <v>0.30508474576271188</v>
      </c>
    </row>
    <row r="9" spans="1:11" ht="16" x14ac:dyDescent="0.45">
      <c r="A9" s="1" t="s">
        <v>34</v>
      </c>
      <c r="B9" s="8">
        <v>45327</v>
      </c>
      <c r="C9" s="1" t="s">
        <v>24</v>
      </c>
      <c r="D9" s="1" t="s">
        <v>8</v>
      </c>
      <c r="E9" s="9">
        <v>7</v>
      </c>
      <c r="F9" s="10">
        <v>9500</v>
      </c>
      <c r="G9" s="10">
        <v>14200</v>
      </c>
      <c r="H9" s="10">
        <f t="shared" si="0"/>
        <v>66500</v>
      </c>
      <c r="I9" s="10">
        <f t="shared" si="1"/>
        <v>99400</v>
      </c>
      <c r="J9" s="10">
        <f t="shared" si="2"/>
        <v>32900</v>
      </c>
      <c r="K9" s="11">
        <f t="shared" si="3"/>
        <v>0.33098591549295775</v>
      </c>
    </row>
    <row r="10" spans="1:11" ht="16" x14ac:dyDescent="0.45">
      <c r="A10" s="3" t="s">
        <v>35</v>
      </c>
      <c r="B10" s="4">
        <v>45333</v>
      </c>
      <c r="C10" s="3" t="s">
        <v>36</v>
      </c>
      <c r="D10" s="3" t="s">
        <v>9</v>
      </c>
      <c r="E10" s="5">
        <v>81</v>
      </c>
      <c r="F10" s="6">
        <v>6800</v>
      </c>
      <c r="G10" s="6">
        <v>10500</v>
      </c>
      <c r="H10" s="6">
        <f t="shared" si="0"/>
        <v>550800</v>
      </c>
      <c r="I10" s="6">
        <f t="shared" si="1"/>
        <v>850500</v>
      </c>
      <c r="J10" s="6">
        <f t="shared" si="2"/>
        <v>299700</v>
      </c>
      <c r="K10" s="7">
        <f t="shared" si="3"/>
        <v>0.35238095238095241</v>
      </c>
    </row>
    <row r="11" spans="1:11" ht="16" x14ac:dyDescent="0.45">
      <c r="A11" s="1" t="s">
        <v>37</v>
      </c>
      <c r="B11" s="8">
        <v>45333</v>
      </c>
      <c r="C11" s="1" t="s">
        <v>28</v>
      </c>
      <c r="D11" s="1" t="s">
        <v>7</v>
      </c>
      <c r="E11" s="9">
        <v>96</v>
      </c>
      <c r="F11" s="10">
        <v>4100</v>
      </c>
      <c r="G11" s="10">
        <v>6300</v>
      </c>
      <c r="H11" s="10">
        <f t="shared" si="0"/>
        <v>393600</v>
      </c>
      <c r="I11" s="10">
        <f t="shared" si="1"/>
        <v>604800</v>
      </c>
      <c r="J11" s="10">
        <f t="shared" si="2"/>
        <v>211200</v>
      </c>
      <c r="K11" s="11">
        <f t="shared" si="3"/>
        <v>0.34920634920634919</v>
      </c>
    </row>
    <row r="12" spans="1:11" ht="16" x14ac:dyDescent="0.45">
      <c r="A12" s="3" t="s">
        <v>38</v>
      </c>
      <c r="B12" s="4">
        <v>45338</v>
      </c>
      <c r="C12" s="3" t="s">
        <v>24</v>
      </c>
      <c r="D12" s="3" t="s">
        <v>3</v>
      </c>
      <c r="E12" s="5">
        <v>66</v>
      </c>
      <c r="F12" s="6">
        <v>3500</v>
      </c>
      <c r="G12" s="6">
        <v>5200</v>
      </c>
      <c r="H12" s="6">
        <f t="shared" si="0"/>
        <v>231000</v>
      </c>
      <c r="I12" s="6">
        <f t="shared" si="1"/>
        <v>343200</v>
      </c>
      <c r="J12" s="6">
        <f t="shared" si="2"/>
        <v>112200</v>
      </c>
      <c r="K12" s="7">
        <f t="shared" si="3"/>
        <v>0.32692307692307693</v>
      </c>
    </row>
    <row r="13" spans="1:11" ht="16" x14ac:dyDescent="0.45">
      <c r="A13" s="1" t="s">
        <v>39</v>
      </c>
      <c r="B13" s="8">
        <v>45340</v>
      </c>
      <c r="C13" s="1" t="s">
        <v>33</v>
      </c>
      <c r="D13" s="1" t="s">
        <v>3</v>
      </c>
      <c r="E13" s="9">
        <v>67</v>
      </c>
      <c r="F13" s="10">
        <v>3500</v>
      </c>
      <c r="G13" s="10">
        <v>5200</v>
      </c>
      <c r="H13" s="10">
        <f t="shared" si="0"/>
        <v>234500</v>
      </c>
      <c r="I13" s="10">
        <f t="shared" si="1"/>
        <v>348400</v>
      </c>
      <c r="J13" s="10">
        <f t="shared" si="2"/>
        <v>113900</v>
      </c>
      <c r="K13" s="11">
        <f t="shared" si="3"/>
        <v>0.32692307692307693</v>
      </c>
    </row>
    <row r="14" spans="1:11" ht="16" x14ac:dyDescent="0.45">
      <c r="A14" s="3" t="s">
        <v>40</v>
      </c>
      <c r="B14" s="4">
        <v>45341</v>
      </c>
      <c r="C14" s="3" t="s">
        <v>26</v>
      </c>
      <c r="D14" s="3" t="s">
        <v>5</v>
      </c>
      <c r="E14" s="5">
        <v>117</v>
      </c>
      <c r="F14" s="6">
        <v>120</v>
      </c>
      <c r="G14" s="6">
        <v>190</v>
      </c>
      <c r="H14" s="6">
        <f t="shared" si="0"/>
        <v>14040</v>
      </c>
      <c r="I14" s="6">
        <f t="shared" si="1"/>
        <v>22230</v>
      </c>
      <c r="J14" s="6">
        <f t="shared" si="2"/>
        <v>8190</v>
      </c>
      <c r="K14" s="7">
        <f t="shared" si="3"/>
        <v>0.36842105263157893</v>
      </c>
    </row>
    <row r="15" spans="1:11" ht="16" x14ac:dyDescent="0.45">
      <c r="A15" s="1" t="s">
        <v>41</v>
      </c>
      <c r="B15" s="8">
        <v>45346</v>
      </c>
      <c r="C15" s="1" t="s">
        <v>33</v>
      </c>
      <c r="D15" s="1" t="s">
        <v>4</v>
      </c>
      <c r="E15" s="9">
        <v>29</v>
      </c>
      <c r="F15" s="10">
        <v>8200</v>
      </c>
      <c r="G15" s="10">
        <v>11800</v>
      </c>
      <c r="H15" s="10">
        <f t="shared" si="0"/>
        <v>237800</v>
      </c>
      <c r="I15" s="10">
        <f t="shared" si="1"/>
        <v>342200</v>
      </c>
      <c r="J15" s="10">
        <f t="shared" si="2"/>
        <v>104400</v>
      </c>
      <c r="K15" s="11">
        <f t="shared" si="3"/>
        <v>0.30508474576271188</v>
      </c>
    </row>
    <row r="16" spans="1:11" ht="16" x14ac:dyDescent="0.45">
      <c r="A16" s="3" t="s">
        <v>42</v>
      </c>
      <c r="B16" s="4">
        <v>45346</v>
      </c>
      <c r="C16" s="3" t="s">
        <v>43</v>
      </c>
      <c r="D16" s="3" t="s">
        <v>7</v>
      </c>
      <c r="E16" s="5">
        <v>60</v>
      </c>
      <c r="F16" s="6">
        <v>4100</v>
      </c>
      <c r="G16" s="6">
        <v>6300</v>
      </c>
      <c r="H16" s="6">
        <f t="shared" si="0"/>
        <v>246000</v>
      </c>
      <c r="I16" s="6">
        <f t="shared" si="1"/>
        <v>378000</v>
      </c>
      <c r="J16" s="6">
        <f t="shared" si="2"/>
        <v>132000</v>
      </c>
      <c r="K16" s="7">
        <f t="shared" si="3"/>
        <v>0.34920634920634919</v>
      </c>
    </row>
    <row r="17" spans="1:11" ht="16" x14ac:dyDescent="0.45">
      <c r="A17" s="1" t="s">
        <v>44</v>
      </c>
      <c r="B17" s="8">
        <v>45353</v>
      </c>
      <c r="C17" s="1" t="s">
        <v>33</v>
      </c>
      <c r="D17" s="1" t="s">
        <v>12</v>
      </c>
      <c r="E17" s="9">
        <v>37</v>
      </c>
      <c r="F17" s="10">
        <v>7200</v>
      </c>
      <c r="G17" s="10">
        <v>10800</v>
      </c>
      <c r="H17" s="10">
        <f t="shared" si="0"/>
        <v>266400</v>
      </c>
      <c r="I17" s="10">
        <f t="shared" si="1"/>
        <v>399600</v>
      </c>
      <c r="J17" s="10">
        <f t="shared" si="2"/>
        <v>133200</v>
      </c>
      <c r="K17" s="11">
        <f t="shared" si="3"/>
        <v>0.33333333333333331</v>
      </c>
    </row>
    <row r="18" spans="1:11" ht="16" x14ac:dyDescent="0.45">
      <c r="A18" s="3" t="s">
        <v>45</v>
      </c>
      <c r="B18" s="4">
        <v>45358</v>
      </c>
      <c r="C18" s="3" t="s">
        <v>43</v>
      </c>
      <c r="D18" s="3" t="s">
        <v>8</v>
      </c>
      <c r="E18" s="5">
        <v>42</v>
      </c>
      <c r="F18" s="6">
        <v>9500</v>
      </c>
      <c r="G18" s="6">
        <v>14200</v>
      </c>
      <c r="H18" s="6">
        <f t="shared" si="0"/>
        <v>399000</v>
      </c>
      <c r="I18" s="6">
        <f t="shared" si="1"/>
        <v>596400</v>
      </c>
      <c r="J18" s="6">
        <f t="shared" si="2"/>
        <v>197400</v>
      </c>
      <c r="K18" s="7">
        <f t="shared" si="3"/>
        <v>0.33098591549295775</v>
      </c>
    </row>
    <row r="19" spans="1:11" ht="16" x14ac:dyDescent="0.45">
      <c r="A19" s="1" t="s">
        <v>46</v>
      </c>
      <c r="B19" s="8">
        <v>45364</v>
      </c>
      <c r="C19" s="1" t="s">
        <v>26</v>
      </c>
      <c r="D19" s="1" t="s">
        <v>9</v>
      </c>
      <c r="E19" s="9">
        <v>10</v>
      </c>
      <c r="F19" s="10">
        <v>6800</v>
      </c>
      <c r="G19" s="10">
        <v>10500</v>
      </c>
      <c r="H19" s="10">
        <f t="shared" si="0"/>
        <v>68000</v>
      </c>
      <c r="I19" s="10">
        <f t="shared" si="1"/>
        <v>105000</v>
      </c>
      <c r="J19" s="10">
        <f t="shared" si="2"/>
        <v>37000</v>
      </c>
      <c r="K19" s="11">
        <f t="shared" si="3"/>
        <v>0.35238095238095241</v>
      </c>
    </row>
    <row r="20" spans="1:11" ht="16" x14ac:dyDescent="0.45">
      <c r="A20" s="3" t="s">
        <v>47</v>
      </c>
      <c r="B20" s="4">
        <v>45368</v>
      </c>
      <c r="C20" s="3" t="s">
        <v>48</v>
      </c>
      <c r="D20" s="3" t="s">
        <v>6</v>
      </c>
      <c r="E20" s="5">
        <v>62</v>
      </c>
      <c r="F20" s="6">
        <v>25000</v>
      </c>
      <c r="G20" s="6">
        <v>38000</v>
      </c>
      <c r="H20" s="6">
        <f t="shared" si="0"/>
        <v>1550000</v>
      </c>
      <c r="I20" s="6">
        <f t="shared" si="1"/>
        <v>2356000</v>
      </c>
      <c r="J20" s="6">
        <f t="shared" si="2"/>
        <v>806000</v>
      </c>
      <c r="K20" s="7">
        <f t="shared" si="3"/>
        <v>0.34210526315789475</v>
      </c>
    </row>
    <row r="21" spans="1:11" ht="16" x14ac:dyDescent="0.45">
      <c r="A21" s="1" t="s">
        <v>49</v>
      </c>
      <c r="B21" s="8">
        <v>45370</v>
      </c>
      <c r="C21" s="1" t="s">
        <v>43</v>
      </c>
      <c r="D21" s="1" t="s">
        <v>9</v>
      </c>
      <c r="E21" s="9">
        <v>48</v>
      </c>
      <c r="F21" s="10">
        <v>6800</v>
      </c>
      <c r="G21" s="10">
        <v>10500</v>
      </c>
      <c r="H21" s="10">
        <f t="shared" si="0"/>
        <v>326400</v>
      </c>
      <c r="I21" s="10">
        <f t="shared" si="1"/>
        <v>504000</v>
      </c>
      <c r="J21" s="10">
        <f t="shared" si="2"/>
        <v>177600</v>
      </c>
      <c r="K21" s="11">
        <f t="shared" si="3"/>
        <v>0.35238095238095241</v>
      </c>
    </row>
    <row r="22" spans="1:11" ht="16" x14ac:dyDescent="0.45">
      <c r="A22" s="3" t="s">
        <v>50</v>
      </c>
      <c r="B22" s="4">
        <v>45377</v>
      </c>
      <c r="C22" s="3" t="s">
        <v>36</v>
      </c>
      <c r="D22" s="3" t="s">
        <v>10</v>
      </c>
      <c r="E22" s="5">
        <v>49</v>
      </c>
      <c r="F22" s="6">
        <v>5400</v>
      </c>
      <c r="G22" s="6">
        <v>8100</v>
      </c>
      <c r="H22" s="6">
        <f t="shared" si="0"/>
        <v>264600</v>
      </c>
      <c r="I22" s="6">
        <f t="shared" si="1"/>
        <v>396900</v>
      </c>
      <c r="J22" s="6">
        <f t="shared" si="2"/>
        <v>132300</v>
      </c>
      <c r="K22" s="7">
        <f t="shared" si="3"/>
        <v>0.33333333333333331</v>
      </c>
    </row>
    <row r="23" spans="1:11" ht="16" x14ac:dyDescent="0.45">
      <c r="A23" s="1" t="s">
        <v>51</v>
      </c>
      <c r="B23" s="8">
        <v>45386</v>
      </c>
      <c r="C23" s="1" t="s">
        <v>33</v>
      </c>
      <c r="D23" s="1" t="s">
        <v>3</v>
      </c>
      <c r="E23" s="9">
        <v>36</v>
      </c>
      <c r="F23" s="10">
        <v>3500</v>
      </c>
      <c r="G23" s="10">
        <v>5200</v>
      </c>
      <c r="H23" s="10">
        <f t="shared" si="0"/>
        <v>126000</v>
      </c>
      <c r="I23" s="10">
        <f t="shared" si="1"/>
        <v>187200</v>
      </c>
      <c r="J23" s="10">
        <f t="shared" si="2"/>
        <v>61200</v>
      </c>
      <c r="K23" s="11">
        <f t="shared" si="3"/>
        <v>0.32692307692307693</v>
      </c>
    </row>
    <row r="24" spans="1:11" ht="16" x14ac:dyDescent="0.45">
      <c r="A24" s="3" t="s">
        <v>52</v>
      </c>
      <c r="B24" s="4">
        <v>45391</v>
      </c>
      <c r="C24" s="3" t="s">
        <v>33</v>
      </c>
      <c r="D24" s="3" t="s">
        <v>8</v>
      </c>
      <c r="E24" s="5">
        <v>49</v>
      </c>
      <c r="F24" s="6">
        <v>9500</v>
      </c>
      <c r="G24" s="6">
        <v>14200</v>
      </c>
      <c r="H24" s="6">
        <f t="shared" si="0"/>
        <v>465500</v>
      </c>
      <c r="I24" s="6">
        <f t="shared" si="1"/>
        <v>695800</v>
      </c>
      <c r="J24" s="6">
        <f t="shared" si="2"/>
        <v>230300</v>
      </c>
      <c r="K24" s="7">
        <f t="shared" si="3"/>
        <v>0.33098591549295775</v>
      </c>
    </row>
    <row r="25" spans="1:11" ht="16" x14ac:dyDescent="0.45">
      <c r="A25" s="1" t="s">
        <v>53</v>
      </c>
      <c r="B25" s="8">
        <v>45393</v>
      </c>
      <c r="C25" s="1" t="s">
        <v>36</v>
      </c>
      <c r="D25" s="1" t="s">
        <v>10</v>
      </c>
      <c r="E25" s="9">
        <v>65</v>
      </c>
      <c r="F25" s="10">
        <v>5400</v>
      </c>
      <c r="G25" s="10">
        <v>8100</v>
      </c>
      <c r="H25" s="10">
        <f t="shared" si="0"/>
        <v>351000</v>
      </c>
      <c r="I25" s="10">
        <f t="shared" si="1"/>
        <v>526500</v>
      </c>
      <c r="J25" s="10">
        <f t="shared" si="2"/>
        <v>175500</v>
      </c>
      <c r="K25" s="11">
        <f t="shared" si="3"/>
        <v>0.33333333333333331</v>
      </c>
    </row>
    <row r="26" spans="1:11" ht="16" x14ac:dyDescent="0.45">
      <c r="A26" s="3" t="s">
        <v>54</v>
      </c>
      <c r="B26" s="4">
        <v>45397</v>
      </c>
      <c r="C26" s="3" t="s">
        <v>31</v>
      </c>
      <c r="D26" s="3" t="s">
        <v>7</v>
      </c>
      <c r="E26" s="5">
        <v>51</v>
      </c>
      <c r="F26" s="6">
        <v>4100</v>
      </c>
      <c r="G26" s="6">
        <v>6300</v>
      </c>
      <c r="H26" s="6">
        <f t="shared" si="0"/>
        <v>209100</v>
      </c>
      <c r="I26" s="6">
        <f t="shared" si="1"/>
        <v>321300</v>
      </c>
      <c r="J26" s="6">
        <f t="shared" si="2"/>
        <v>112200</v>
      </c>
      <c r="K26" s="7">
        <f t="shared" si="3"/>
        <v>0.34920634920634919</v>
      </c>
    </row>
    <row r="27" spans="1:11" ht="16" x14ac:dyDescent="0.45">
      <c r="A27" s="1" t="s">
        <v>55</v>
      </c>
      <c r="B27" s="8">
        <v>45401</v>
      </c>
      <c r="C27" s="1" t="s">
        <v>56</v>
      </c>
      <c r="D27" s="1" t="s">
        <v>6</v>
      </c>
      <c r="E27" s="9">
        <v>25</v>
      </c>
      <c r="F27" s="10">
        <v>25000</v>
      </c>
      <c r="G27" s="10">
        <v>38000</v>
      </c>
      <c r="H27" s="10">
        <f t="shared" si="0"/>
        <v>625000</v>
      </c>
      <c r="I27" s="10">
        <f t="shared" si="1"/>
        <v>950000</v>
      </c>
      <c r="J27" s="10">
        <f t="shared" si="2"/>
        <v>325000</v>
      </c>
      <c r="K27" s="11">
        <f t="shared" si="3"/>
        <v>0.34210526315789475</v>
      </c>
    </row>
    <row r="28" spans="1:11" ht="16" x14ac:dyDescent="0.45">
      <c r="A28" s="3" t="s">
        <v>57</v>
      </c>
      <c r="B28" s="4">
        <v>45404</v>
      </c>
      <c r="C28" s="3" t="s">
        <v>48</v>
      </c>
      <c r="D28" s="3" t="s">
        <v>4</v>
      </c>
      <c r="E28" s="5">
        <v>84</v>
      </c>
      <c r="F28" s="6">
        <v>8200</v>
      </c>
      <c r="G28" s="6">
        <v>11800</v>
      </c>
      <c r="H28" s="6">
        <f t="shared" si="0"/>
        <v>688800</v>
      </c>
      <c r="I28" s="6">
        <f t="shared" si="1"/>
        <v>991200</v>
      </c>
      <c r="J28" s="6">
        <f t="shared" si="2"/>
        <v>302400</v>
      </c>
      <c r="K28" s="7">
        <f t="shared" si="3"/>
        <v>0.30508474576271188</v>
      </c>
    </row>
    <row r="29" spans="1:11" ht="16" x14ac:dyDescent="0.45">
      <c r="A29" s="1" t="s">
        <v>58</v>
      </c>
      <c r="B29" s="8">
        <v>45405</v>
      </c>
      <c r="C29" s="1" t="s">
        <v>28</v>
      </c>
      <c r="D29" s="1" t="s">
        <v>8</v>
      </c>
      <c r="E29" s="9">
        <v>89</v>
      </c>
      <c r="F29" s="10">
        <v>9500</v>
      </c>
      <c r="G29" s="10">
        <v>14200</v>
      </c>
      <c r="H29" s="10">
        <f t="shared" si="0"/>
        <v>845500</v>
      </c>
      <c r="I29" s="10">
        <f t="shared" si="1"/>
        <v>1263800</v>
      </c>
      <c r="J29" s="10">
        <f t="shared" si="2"/>
        <v>418300</v>
      </c>
      <c r="K29" s="11">
        <f t="shared" si="3"/>
        <v>0.33098591549295775</v>
      </c>
    </row>
    <row r="30" spans="1:11" ht="16" x14ac:dyDescent="0.45">
      <c r="A30" s="3" t="s">
        <v>59</v>
      </c>
      <c r="B30" s="4">
        <v>45408</v>
      </c>
      <c r="C30" s="3" t="s">
        <v>43</v>
      </c>
      <c r="D30" s="3" t="s">
        <v>8</v>
      </c>
      <c r="E30" s="5">
        <v>79</v>
      </c>
      <c r="F30" s="6">
        <v>9500</v>
      </c>
      <c r="G30" s="6">
        <v>14200</v>
      </c>
      <c r="H30" s="6">
        <f t="shared" si="0"/>
        <v>750500</v>
      </c>
      <c r="I30" s="6">
        <f t="shared" si="1"/>
        <v>1121800</v>
      </c>
      <c r="J30" s="6">
        <f t="shared" si="2"/>
        <v>371300</v>
      </c>
      <c r="K30" s="7">
        <f t="shared" si="3"/>
        <v>0.33098591549295775</v>
      </c>
    </row>
    <row r="31" spans="1:11" ht="16" x14ac:dyDescent="0.45">
      <c r="A31" s="1" t="s">
        <v>60</v>
      </c>
      <c r="B31" s="8">
        <v>45411</v>
      </c>
      <c r="C31" s="1" t="s">
        <v>36</v>
      </c>
      <c r="D31" s="1" t="s">
        <v>3</v>
      </c>
      <c r="E31" s="9">
        <v>105</v>
      </c>
      <c r="F31" s="10">
        <v>3500</v>
      </c>
      <c r="G31" s="10">
        <v>5200</v>
      </c>
      <c r="H31" s="10">
        <f t="shared" si="0"/>
        <v>367500</v>
      </c>
      <c r="I31" s="10">
        <f t="shared" si="1"/>
        <v>546000</v>
      </c>
      <c r="J31" s="10">
        <f t="shared" si="2"/>
        <v>178500</v>
      </c>
      <c r="K31" s="11">
        <f t="shared" si="3"/>
        <v>0.32692307692307693</v>
      </c>
    </row>
    <row r="32" spans="1:11" ht="16" x14ac:dyDescent="0.45">
      <c r="A32" s="3" t="s">
        <v>61</v>
      </c>
      <c r="B32" s="4">
        <v>45412</v>
      </c>
      <c r="C32" s="3" t="s">
        <v>26</v>
      </c>
      <c r="D32" s="3" t="s">
        <v>11</v>
      </c>
      <c r="E32" s="5">
        <v>40</v>
      </c>
      <c r="F32" s="6">
        <v>18500</v>
      </c>
      <c r="G32" s="6">
        <v>27000</v>
      </c>
      <c r="H32" s="6">
        <f t="shared" si="0"/>
        <v>740000</v>
      </c>
      <c r="I32" s="6">
        <f t="shared" si="1"/>
        <v>1080000</v>
      </c>
      <c r="J32" s="6">
        <f t="shared" si="2"/>
        <v>340000</v>
      </c>
      <c r="K32" s="7">
        <f t="shared" si="3"/>
        <v>0.31481481481481483</v>
      </c>
    </row>
    <row r="33" spans="1:11" ht="16" x14ac:dyDescent="0.45">
      <c r="A33" s="1" t="s">
        <v>62</v>
      </c>
      <c r="B33" s="8">
        <v>45418</v>
      </c>
      <c r="C33" s="1" t="s">
        <v>43</v>
      </c>
      <c r="D33" s="1" t="s">
        <v>8</v>
      </c>
      <c r="E33" s="9">
        <v>103</v>
      </c>
      <c r="F33" s="10">
        <v>9500</v>
      </c>
      <c r="G33" s="10">
        <v>14200</v>
      </c>
      <c r="H33" s="10">
        <f t="shared" si="0"/>
        <v>978500</v>
      </c>
      <c r="I33" s="10">
        <f t="shared" si="1"/>
        <v>1462600</v>
      </c>
      <c r="J33" s="10">
        <f t="shared" si="2"/>
        <v>484100</v>
      </c>
      <c r="K33" s="11">
        <f t="shared" si="3"/>
        <v>0.33098591549295775</v>
      </c>
    </row>
    <row r="34" spans="1:11" ht="16" x14ac:dyDescent="0.45">
      <c r="A34" s="3" t="s">
        <v>63</v>
      </c>
      <c r="B34" s="4">
        <v>45418</v>
      </c>
      <c r="C34" s="3" t="s">
        <v>56</v>
      </c>
      <c r="D34" s="3" t="s">
        <v>5</v>
      </c>
      <c r="E34" s="5">
        <v>23</v>
      </c>
      <c r="F34" s="6">
        <v>120</v>
      </c>
      <c r="G34" s="6">
        <v>190</v>
      </c>
      <c r="H34" s="6">
        <f t="shared" ref="H34:H65" si="4">E34*F34</f>
        <v>2760</v>
      </c>
      <c r="I34" s="6">
        <f t="shared" ref="I34:I65" si="5">E34*G34</f>
        <v>4370</v>
      </c>
      <c r="J34" s="6">
        <f t="shared" ref="J34:J65" si="6">I34-H34</f>
        <v>1610</v>
      </c>
      <c r="K34" s="7">
        <f t="shared" ref="K34:K65" si="7">IF(I34&gt;0, J34/I34, 0)</f>
        <v>0.36842105263157893</v>
      </c>
    </row>
    <row r="35" spans="1:11" ht="16" x14ac:dyDescent="0.45">
      <c r="A35" s="1" t="s">
        <v>64</v>
      </c>
      <c r="B35" s="8">
        <v>45427</v>
      </c>
      <c r="C35" s="1" t="s">
        <v>26</v>
      </c>
      <c r="D35" s="1" t="s">
        <v>6</v>
      </c>
      <c r="E35" s="9">
        <v>24</v>
      </c>
      <c r="F35" s="10">
        <v>25000</v>
      </c>
      <c r="G35" s="10">
        <v>38000</v>
      </c>
      <c r="H35" s="10">
        <f t="shared" si="4"/>
        <v>600000</v>
      </c>
      <c r="I35" s="10">
        <f t="shared" si="5"/>
        <v>912000</v>
      </c>
      <c r="J35" s="10">
        <f t="shared" si="6"/>
        <v>312000</v>
      </c>
      <c r="K35" s="11">
        <f t="shared" si="7"/>
        <v>0.34210526315789475</v>
      </c>
    </row>
    <row r="36" spans="1:11" ht="16" x14ac:dyDescent="0.45">
      <c r="A36" s="3" t="s">
        <v>65</v>
      </c>
      <c r="B36" s="4">
        <v>45434</v>
      </c>
      <c r="C36" s="3" t="s">
        <v>24</v>
      </c>
      <c r="D36" s="3" t="s">
        <v>6</v>
      </c>
      <c r="E36" s="5">
        <v>61</v>
      </c>
      <c r="F36" s="6">
        <v>25000</v>
      </c>
      <c r="G36" s="6">
        <v>38000</v>
      </c>
      <c r="H36" s="6">
        <f t="shared" si="4"/>
        <v>1525000</v>
      </c>
      <c r="I36" s="6">
        <f t="shared" si="5"/>
        <v>2318000</v>
      </c>
      <c r="J36" s="6">
        <f t="shared" si="6"/>
        <v>793000</v>
      </c>
      <c r="K36" s="7">
        <f t="shared" si="7"/>
        <v>0.34210526315789475</v>
      </c>
    </row>
    <row r="37" spans="1:11" ht="16" x14ac:dyDescent="0.45">
      <c r="A37" s="1" t="s">
        <v>66</v>
      </c>
      <c r="B37" s="8">
        <v>45436</v>
      </c>
      <c r="C37" s="1" t="s">
        <v>33</v>
      </c>
      <c r="D37" s="1" t="s">
        <v>5</v>
      </c>
      <c r="E37" s="9">
        <v>22</v>
      </c>
      <c r="F37" s="10">
        <v>120</v>
      </c>
      <c r="G37" s="10">
        <v>190</v>
      </c>
      <c r="H37" s="10">
        <f t="shared" si="4"/>
        <v>2640</v>
      </c>
      <c r="I37" s="10">
        <f t="shared" si="5"/>
        <v>4180</v>
      </c>
      <c r="J37" s="10">
        <f t="shared" si="6"/>
        <v>1540</v>
      </c>
      <c r="K37" s="11">
        <f t="shared" si="7"/>
        <v>0.36842105263157893</v>
      </c>
    </row>
    <row r="38" spans="1:11" ht="16" x14ac:dyDescent="0.45">
      <c r="A38" s="3" t="s">
        <v>67</v>
      </c>
      <c r="B38" s="4">
        <v>45436</v>
      </c>
      <c r="C38" s="3" t="s">
        <v>24</v>
      </c>
      <c r="D38" s="3" t="s">
        <v>12</v>
      </c>
      <c r="E38" s="5">
        <v>51</v>
      </c>
      <c r="F38" s="6">
        <v>7200</v>
      </c>
      <c r="G38" s="6">
        <v>10800</v>
      </c>
      <c r="H38" s="6">
        <f t="shared" si="4"/>
        <v>367200</v>
      </c>
      <c r="I38" s="6">
        <f t="shared" si="5"/>
        <v>550800</v>
      </c>
      <c r="J38" s="6">
        <f t="shared" si="6"/>
        <v>183600</v>
      </c>
      <c r="K38" s="7">
        <f t="shared" si="7"/>
        <v>0.33333333333333331</v>
      </c>
    </row>
    <row r="39" spans="1:11" ht="16" x14ac:dyDescent="0.45">
      <c r="A39" s="1" t="s">
        <v>68</v>
      </c>
      <c r="B39" s="8">
        <v>45440</v>
      </c>
      <c r="C39" s="1" t="s">
        <v>43</v>
      </c>
      <c r="D39" s="1" t="s">
        <v>5</v>
      </c>
      <c r="E39" s="9">
        <v>109</v>
      </c>
      <c r="F39" s="10">
        <v>120</v>
      </c>
      <c r="G39" s="10">
        <v>190</v>
      </c>
      <c r="H39" s="10">
        <f t="shared" si="4"/>
        <v>13080</v>
      </c>
      <c r="I39" s="10">
        <f t="shared" si="5"/>
        <v>20710</v>
      </c>
      <c r="J39" s="10">
        <f t="shared" si="6"/>
        <v>7630</v>
      </c>
      <c r="K39" s="11">
        <f t="shared" si="7"/>
        <v>0.36842105263157893</v>
      </c>
    </row>
    <row r="40" spans="1:11" ht="16" x14ac:dyDescent="0.45">
      <c r="A40" s="3" t="s">
        <v>69</v>
      </c>
      <c r="B40" s="4">
        <v>45444</v>
      </c>
      <c r="C40" s="3" t="s">
        <v>56</v>
      </c>
      <c r="D40" s="3" t="s">
        <v>5</v>
      </c>
      <c r="E40" s="5">
        <v>53</v>
      </c>
      <c r="F40" s="6">
        <v>120</v>
      </c>
      <c r="G40" s="6">
        <v>190</v>
      </c>
      <c r="H40" s="6">
        <f t="shared" si="4"/>
        <v>6360</v>
      </c>
      <c r="I40" s="6">
        <f t="shared" si="5"/>
        <v>10070</v>
      </c>
      <c r="J40" s="6">
        <f t="shared" si="6"/>
        <v>3710</v>
      </c>
      <c r="K40" s="7">
        <f t="shared" si="7"/>
        <v>0.36842105263157893</v>
      </c>
    </row>
    <row r="41" spans="1:11" ht="16" x14ac:dyDescent="0.45">
      <c r="A41" s="1" t="s">
        <v>70</v>
      </c>
      <c r="B41" s="8">
        <v>45462</v>
      </c>
      <c r="C41" s="1" t="s">
        <v>48</v>
      </c>
      <c r="D41" s="1" t="s">
        <v>6</v>
      </c>
      <c r="E41" s="9">
        <v>18</v>
      </c>
      <c r="F41" s="10">
        <v>25000</v>
      </c>
      <c r="G41" s="10">
        <v>38000</v>
      </c>
      <c r="H41" s="10">
        <f t="shared" si="4"/>
        <v>450000</v>
      </c>
      <c r="I41" s="10">
        <f t="shared" si="5"/>
        <v>684000</v>
      </c>
      <c r="J41" s="10">
        <f t="shared" si="6"/>
        <v>234000</v>
      </c>
      <c r="K41" s="11">
        <f t="shared" si="7"/>
        <v>0.34210526315789475</v>
      </c>
    </row>
    <row r="42" spans="1:11" ht="16" x14ac:dyDescent="0.45">
      <c r="A42" s="3" t="s">
        <v>71</v>
      </c>
      <c r="B42" s="4">
        <v>45465</v>
      </c>
      <c r="C42" s="3" t="s">
        <v>43</v>
      </c>
      <c r="D42" s="3" t="s">
        <v>9</v>
      </c>
      <c r="E42" s="5">
        <v>19</v>
      </c>
      <c r="F42" s="6">
        <v>6800</v>
      </c>
      <c r="G42" s="6">
        <v>10500</v>
      </c>
      <c r="H42" s="6">
        <f t="shared" si="4"/>
        <v>129200</v>
      </c>
      <c r="I42" s="6">
        <f t="shared" si="5"/>
        <v>199500</v>
      </c>
      <c r="J42" s="6">
        <f t="shared" si="6"/>
        <v>70300</v>
      </c>
      <c r="K42" s="7">
        <f t="shared" si="7"/>
        <v>0.35238095238095241</v>
      </c>
    </row>
    <row r="43" spans="1:11" ht="16" x14ac:dyDescent="0.45">
      <c r="A43" s="1" t="s">
        <v>72</v>
      </c>
      <c r="B43" s="8">
        <v>45466</v>
      </c>
      <c r="C43" s="1" t="s">
        <v>36</v>
      </c>
      <c r="D43" s="1" t="s">
        <v>6</v>
      </c>
      <c r="E43" s="9">
        <v>35</v>
      </c>
      <c r="F43" s="10">
        <v>25000</v>
      </c>
      <c r="G43" s="10">
        <v>38000</v>
      </c>
      <c r="H43" s="10">
        <f t="shared" si="4"/>
        <v>875000</v>
      </c>
      <c r="I43" s="10">
        <f t="shared" si="5"/>
        <v>1330000</v>
      </c>
      <c r="J43" s="10">
        <f t="shared" si="6"/>
        <v>455000</v>
      </c>
      <c r="K43" s="11">
        <f t="shared" si="7"/>
        <v>0.34210526315789475</v>
      </c>
    </row>
    <row r="44" spans="1:11" ht="16" x14ac:dyDescent="0.45">
      <c r="A44" s="3" t="s">
        <v>73</v>
      </c>
      <c r="B44" s="4">
        <v>45467</v>
      </c>
      <c r="C44" s="3" t="s">
        <v>22</v>
      </c>
      <c r="D44" s="3" t="s">
        <v>11</v>
      </c>
      <c r="E44" s="5">
        <v>5</v>
      </c>
      <c r="F44" s="6">
        <v>18500</v>
      </c>
      <c r="G44" s="6">
        <v>27000</v>
      </c>
      <c r="H44" s="6">
        <f t="shared" si="4"/>
        <v>92500</v>
      </c>
      <c r="I44" s="6">
        <f t="shared" si="5"/>
        <v>135000</v>
      </c>
      <c r="J44" s="6">
        <f t="shared" si="6"/>
        <v>42500</v>
      </c>
      <c r="K44" s="7">
        <f t="shared" si="7"/>
        <v>0.31481481481481483</v>
      </c>
    </row>
    <row r="45" spans="1:11" ht="16" x14ac:dyDescent="0.45">
      <c r="A45" s="1" t="s">
        <v>74</v>
      </c>
      <c r="B45" s="8">
        <v>45472</v>
      </c>
      <c r="C45" s="1" t="s">
        <v>43</v>
      </c>
      <c r="D45" s="1" t="s">
        <v>3</v>
      </c>
      <c r="E45" s="9">
        <v>58</v>
      </c>
      <c r="F45" s="10">
        <v>3500</v>
      </c>
      <c r="G45" s="10">
        <v>5200</v>
      </c>
      <c r="H45" s="10">
        <f t="shared" si="4"/>
        <v>203000</v>
      </c>
      <c r="I45" s="10">
        <f t="shared" si="5"/>
        <v>301600</v>
      </c>
      <c r="J45" s="10">
        <f t="shared" si="6"/>
        <v>98600</v>
      </c>
      <c r="K45" s="11">
        <f t="shared" si="7"/>
        <v>0.32692307692307693</v>
      </c>
    </row>
    <row r="46" spans="1:11" ht="16" x14ac:dyDescent="0.45">
      <c r="A46" s="3" t="s">
        <v>75</v>
      </c>
      <c r="B46" s="4">
        <v>45476</v>
      </c>
      <c r="C46" s="3" t="s">
        <v>33</v>
      </c>
      <c r="D46" s="3" t="s">
        <v>10</v>
      </c>
      <c r="E46" s="5">
        <v>7</v>
      </c>
      <c r="F46" s="6">
        <v>5400</v>
      </c>
      <c r="G46" s="6">
        <v>8100</v>
      </c>
      <c r="H46" s="6">
        <f t="shared" si="4"/>
        <v>37800</v>
      </c>
      <c r="I46" s="6">
        <f t="shared" si="5"/>
        <v>56700</v>
      </c>
      <c r="J46" s="6">
        <f t="shared" si="6"/>
        <v>18900</v>
      </c>
      <c r="K46" s="7">
        <f t="shared" si="7"/>
        <v>0.33333333333333331</v>
      </c>
    </row>
    <row r="47" spans="1:11" ht="16" x14ac:dyDescent="0.45">
      <c r="A47" s="1" t="s">
        <v>76</v>
      </c>
      <c r="B47" s="8">
        <v>45493</v>
      </c>
      <c r="C47" s="1" t="s">
        <v>33</v>
      </c>
      <c r="D47" s="1" t="s">
        <v>9</v>
      </c>
      <c r="E47" s="9">
        <v>20</v>
      </c>
      <c r="F47" s="10">
        <v>6800</v>
      </c>
      <c r="G47" s="10">
        <v>10500</v>
      </c>
      <c r="H47" s="10">
        <f t="shared" si="4"/>
        <v>136000</v>
      </c>
      <c r="I47" s="10">
        <f t="shared" si="5"/>
        <v>210000</v>
      </c>
      <c r="J47" s="10">
        <f t="shared" si="6"/>
        <v>74000</v>
      </c>
      <c r="K47" s="11">
        <f t="shared" si="7"/>
        <v>0.35238095238095241</v>
      </c>
    </row>
    <row r="48" spans="1:11" ht="16" x14ac:dyDescent="0.45">
      <c r="A48" s="3" t="s">
        <v>77</v>
      </c>
      <c r="B48" s="4">
        <v>45495</v>
      </c>
      <c r="C48" s="3" t="s">
        <v>43</v>
      </c>
      <c r="D48" s="3" t="s">
        <v>4</v>
      </c>
      <c r="E48" s="5">
        <v>91</v>
      </c>
      <c r="F48" s="6">
        <v>8200</v>
      </c>
      <c r="G48" s="6">
        <v>11800</v>
      </c>
      <c r="H48" s="6">
        <f t="shared" si="4"/>
        <v>746200</v>
      </c>
      <c r="I48" s="6">
        <f t="shared" si="5"/>
        <v>1073800</v>
      </c>
      <c r="J48" s="6">
        <f t="shared" si="6"/>
        <v>327600</v>
      </c>
      <c r="K48" s="7">
        <f t="shared" si="7"/>
        <v>0.30508474576271188</v>
      </c>
    </row>
    <row r="49" spans="1:11" ht="16" x14ac:dyDescent="0.45">
      <c r="A49" s="1" t="s">
        <v>78</v>
      </c>
      <c r="B49" s="8">
        <v>45495</v>
      </c>
      <c r="C49" s="1" t="s">
        <v>26</v>
      </c>
      <c r="D49" s="1" t="s">
        <v>10</v>
      </c>
      <c r="E49" s="9">
        <v>61</v>
      </c>
      <c r="F49" s="10">
        <v>5400</v>
      </c>
      <c r="G49" s="10">
        <v>8100</v>
      </c>
      <c r="H49" s="10">
        <f t="shared" si="4"/>
        <v>329400</v>
      </c>
      <c r="I49" s="10">
        <f t="shared" si="5"/>
        <v>494100</v>
      </c>
      <c r="J49" s="10">
        <f t="shared" si="6"/>
        <v>164700</v>
      </c>
      <c r="K49" s="11">
        <f t="shared" si="7"/>
        <v>0.33333333333333331</v>
      </c>
    </row>
    <row r="50" spans="1:11" ht="16" x14ac:dyDescent="0.45">
      <c r="A50" s="3" t="s">
        <v>79</v>
      </c>
      <c r="B50" s="4">
        <v>45497</v>
      </c>
      <c r="C50" s="3" t="s">
        <v>22</v>
      </c>
      <c r="D50" s="3" t="s">
        <v>3</v>
      </c>
      <c r="E50" s="5">
        <v>79</v>
      </c>
      <c r="F50" s="6">
        <v>3500</v>
      </c>
      <c r="G50" s="6">
        <v>5200</v>
      </c>
      <c r="H50" s="6">
        <f t="shared" si="4"/>
        <v>276500</v>
      </c>
      <c r="I50" s="6">
        <f t="shared" si="5"/>
        <v>410800</v>
      </c>
      <c r="J50" s="6">
        <f t="shared" si="6"/>
        <v>134300</v>
      </c>
      <c r="K50" s="7">
        <f t="shared" si="7"/>
        <v>0.32692307692307693</v>
      </c>
    </row>
    <row r="51" spans="1:11" ht="16" x14ac:dyDescent="0.45">
      <c r="A51" s="1" t="s">
        <v>80</v>
      </c>
      <c r="B51" s="8">
        <v>45506</v>
      </c>
      <c r="C51" s="1" t="s">
        <v>36</v>
      </c>
      <c r="D51" s="1" t="s">
        <v>11</v>
      </c>
      <c r="E51" s="9">
        <v>16</v>
      </c>
      <c r="F51" s="10">
        <v>18500</v>
      </c>
      <c r="G51" s="10">
        <v>27000</v>
      </c>
      <c r="H51" s="10">
        <f t="shared" si="4"/>
        <v>296000</v>
      </c>
      <c r="I51" s="10">
        <f t="shared" si="5"/>
        <v>432000</v>
      </c>
      <c r="J51" s="10">
        <f t="shared" si="6"/>
        <v>136000</v>
      </c>
      <c r="K51" s="11">
        <f t="shared" si="7"/>
        <v>0.31481481481481483</v>
      </c>
    </row>
    <row r="52" spans="1:11" ht="16" x14ac:dyDescent="0.45">
      <c r="A52" s="3" t="s">
        <v>81</v>
      </c>
      <c r="B52" s="4">
        <v>45507</v>
      </c>
      <c r="C52" s="3" t="s">
        <v>43</v>
      </c>
      <c r="D52" s="3" t="s">
        <v>11</v>
      </c>
      <c r="E52" s="5">
        <v>78</v>
      </c>
      <c r="F52" s="6">
        <v>18500</v>
      </c>
      <c r="G52" s="6">
        <v>27000</v>
      </c>
      <c r="H52" s="6">
        <f t="shared" si="4"/>
        <v>1443000</v>
      </c>
      <c r="I52" s="6">
        <f t="shared" si="5"/>
        <v>2106000</v>
      </c>
      <c r="J52" s="6">
        <f t="shared" si="6"/>
        <v>663000</v>
      </c>
      <c r="K52" s="7">
        <f t="shared" si="7"/>
        <v>0.31481481481481483</v>
      </c>
    </row>
    <row r="53" spans="1:11" ht="16" x14ac:dyDescent="0.45">
      <c r="A53" s="1" t="s">
        <v>82</v>
      </c>
      <c r="B53" s="8">
        <v>45511</v>
      </c>
      <c r="C53" s="1" t="s">
        <v>26</v>
      </c>
      <c r="D53" s="1" t="s">
        <v>4</v>
      </c>
      <c r="E53" s="9">
        <v>100</v>
      </c>
      <c r="F53" s="10">
        <v>8200</v>
      </c>
      <c r="G53" s="10">
        <v>11800</v>
      </c>
      <c r="H53" s="10">
        <f t="shared" si="4"/>
        <v>820000</v>
      </c>
      <c r="I53" s="10">
        <f t="shared" si="5"/>
        <v>1180000</v>
      </c>
      <c r="J53" s="10">
        <f t="shared" si="6"/>
        <v>360000</v>
      </c>
      <c r="K53" s="11">
        <f t="shared" si="7"/>
        <v>0.30508474576271188</v>
      </c>
    </row>
    <row r="54" spans="1:11" ht="16" x14ac:dyDescent="0.45">
      <c r="A54" s="3" t="s">
        <v>83</v>
      </c>
      <c r="B54" s="4">
        <v>45512</v>
      </c>
      <c r="C54" s="3" t="s">
        <v>33</v>
      </c>
      <c r="D54" s="3" t="s">
        <v>9</v>
      </c>
      <c r="E54" s="5">
        <v>20</v>
      </c>
      <c r="F54" s="6">
        <v>6800</v>
      </c>
      <c r="G54" s="6">
        <v>10500</v>
      </c>
      <c r="H54" s="6">
        <f t="shared" si="4"/>
        <v>136000</v>
      </c>
      <c r="I54" s="6">
        <f t="shared" si="5"/>
        <v>210000</v>
      </c>
      <c r="J54" s="6">
        <f t="shared" si="6"/>
        <v>74000</v>
      </c>
      <c r="K54" s="7">
        <f t="shared" si="7"/>
        <v>0.35238095238095241</v>
      </c>
    </row>
    <row r="55" spans="1:11" ht="16" x14ac:dyDescent="0.45">
      <c r="A55" s="1" t="s">
        <v>84</v>
      </c>
      <c r="B55" s="8">
        <v>45520</v>
      </c>
      <c r="C55" s="1" t="s">
        <v>33</v>
      </c>
      <c r="D55" s="1" t="s">
        <v>12</v>
      </c>
      <c r="E55" s="9">
        <v>76</v>
      </c>
      <c r="F55" s="10">
        <v>7200</v>
      </c>
      <c r="G55" s="10">
        <v>10800</v>
      </c>
      <c r="H55" s="10">
        <f t="shared" si="4"/>
        <v>547200</v>
      </c>
      <c r="I55" s="10">
        <f t="shared" si="5"/>
        <v>820800</v>
      </c>
      <c r="J55" s="10">
        <f t="shared" si="6"/>
        <v>273600</v>
      </c>
      <c r="K55" s="11">
        <f t="shared" si="7"/>
        <v>0.33333333333333331</v>
      </c>
    </row>
    <row r="56" spans="1:11" ht="16" x14ac:dyDescent="0.45">
      <c r="A56" s="3" t="s">
        <v>85</v>
      </c>
      <c r="B56" s="4">
        <v>45522</v>
      </c>
      <c r="C56" s="3" t="s">
        <v>56</v>
      </c>
      <c r="D56" s="3" t="s">
        <v>5</v>
      </c>
      <c r="E56" s="5">
        <v>106</v>
      </c>
      <c r="F56" s="6">
        <v>120</v>
      </c>
      <c r="G56" s="6">
        <v>190</v>
      </c>
      <c r="H56" s="6">
        <f t="shared" si="4"/>
        <v>12720</v>
      </c>
      <c r="I56" s="6">
        <f t="shared" si="5"/>
        <v>20140</v>
      </c>
      <c r="J56" s="6">
        <f t="shared" si="6"/>
        <v>7420</v>
      </c>
      <c r="K56" s="7">
        <f t="shared" si="7"/>
        <v>0.36842105263157893</v>
      </c>
    </row>
    <row r="57" spans="1:11" ht="16" x14ac:dyDescent="0.45">
      <c r="A57" s="1" t="s">
        <v>86</v>
      </c>
      <c r="B57" s="8">
        <v>45523</v>
      </c>
      <c r="C57" s="1" t="s">
        <v>43</v>
      </c>
      <c r="D57" s="1" t="s">
        <v>9</v>
      </c>
      <c r="E57" s="9">
        <v>80</v>
      </c>
      <c r="F57" s="10">
        <v>6800</v>
      </c>
      <c r="G57" s="10">
        <v>10500</v>
      </c>
      <c r="H57" s="10">
        <f t="shared" si="4"/>
        <v>544000</v>
      </c>
      <c r="I57" s="10">
        <f t="shared" si="5"/>
        <v>840000</v>
      </c>
      <c r="J57" s="10">
        <f t="shared" si="6"/>
        <v>296000</v>
      </c>
      <c r="K57" s="11">
        <f t="shared" si="7"/>
        <v>0.35238095238095241</v>
      </c>
    </row>
    <row r="58" spans="1:11" ht="16" x14ac:dyDescent="0.45">
      <c r="A58" s="3" t="s">
        <v>87</v>
      </c>
      <c r="B58" s="4">
        <v>45530</v>
      </c>
      <c r="C58" s="3" t="s">
        <v>22</v>
      </c>
      <c r="D58" s="3" t="s">
        <v>12</v>
      </c>
      <c r="E58" s="5">
        <v>28</v>
      </c>
      <c r="F58" s="6">
        <v>7200</v>
      </c>
      <c r="G58" s="6">
        <v>10800</v>
      </c>
      <c r="H58" s="6">
        <f t="shared" si="4"/>
        <v>201600</v>
      </c>
      <c r="I58" s="6">
        <f t="shared" si="5"/>
        <v>302400</v>
      </c>
      <c r="J58" s="6">
        <f t="shared" si="6"/>
        <v>100800</v>
      </c>
      <c r="K58" s="7">
        <f t="shared" si="7"/>
        <v>0.33333333333333331</v>
      </c>
    </row>
    <row r="59" spans="1:11" ht="16" x14ac:dyDescent="0.45">
      <c r="A59" s="1" t="s">
        <v>88</v>
      </c>
      <c r="B59" s="8">
        <v>45530</v>
      </c>
      <c r="C59" s="1" t="s">
        <v>31</v>
      </c>
      <c r="D59" s="1" t="s">
        <v>11</v>
      </c>
      <c r="E59" s="9">
        <v>32</v>
      </c>
      <c r="F59" s="10">
        <v>18500</v>
      </c>
      <c r="G59" s="10">
        <v>27000</v>
      </c>
      <c r="H59" s="10">
        <f t="shared" si="4"/>
        <v>592000</v>
      </c>
      <c r="I59" s="10">
        <f t="shared" si="5"/>
        <v>864000</v>
      </c>
      <c r="J59" s="10">
        <f t="shared" si="6"/>
        <v>272000</v>
      </c>
      <c r="K59" s="11">
        <f t="shared" si="7"/>
        <v>0.31481481481481483</v>
      </c>
    </row>
    <row r="60" spans="1:11" ht="16" x14ac:dyDescent="0.45">
      <c r="A60" s="3" t="s">
        <v>89</v>
      </c>
      <c r="B60" s="4">
        <v>45536</v>
      </c>
      <c r="C60" s="3" t="s">
        <v>22</v>
      </c>
      <c r="D60" s="3" t="s">
        <v>6</v>
      </c>
      <c r="E60" s="5">
        <v>12</v>
      </c>
      <c r="F60" s="6">
        <v>25000</v>
      </c>
      <c r="G60" s="6">
        <v>38000</v>
      </c>
      <c r="H60" s="6">
        <f t="shared" si="4"/>
        <v>300000</v>
      </c>
      <c r="I60" s="6">
        <f t="shared" si="5"/>
        <v>456000</v>
      </c>
      <c r="J60" s="6">
        <f t="shared" si="6"/>
        <v>156000</v>
      </c>
      <c r="K60" s="7">
        <f t="shared" si="7"/>
        <v>0.34210526315789475</v>
      </c>
    </row>
    <row r="61" spans="1:11" ht="16" x14ac:dyDescent="0.45">
      <c r="A61" s="1" t="s">
        <v>90</v>
      </c>
      <c r="B61" s="8">
        <v>45536</v>
      </c>
      <c r="C61" s="1" t="s">
        <v>33</v>
      </c>
      <c r="D61" s="1" t="s">
        <v>3</v>
      </c>
      <c r="E61" s="9">
        <v>96</v>
      </c>
      <c r="F61" s="10">
        <v>3500</v>
      </c>
      <c r="G61" s="10">
        <v>5200</v>
      </c>
      <c r="H61" s="10">
        <f t="shared" si="4"/>
        <v>336000</v>
      </c>
      <c r="I61" s="10">
        <f t="shared" si="5"/>
        <v>499200</v>
      </c>
      <c r="J61" s="10">
        <f t="shared" si="6"/>
        <v>163200</v>
      </c>
      <c r="K61" s="11">
        <f t="shared" si="7"/>
        <v>0.32692307692307693</v>
      </c>
    </row>
    <row r="62" spans="1:11" ht="16" x14ac:dyDescent="0.45">
      <c r="A62" s="3" t="s">
        <v>91</v>
      </c>
      <c r="B62" s="4">
        <v>45536</v>
      </c>
      <c r="C62" s="3" t="s">
        <v>33</v>
      </c>
      <c r="D62" s="3" t="s">
        <v>4</v>
      </c>
      <c r="E62" s="5">
        <v>40</v>
      </c>
      <c r="F62" s="6">
        <v>8200</v>
      </c>
      <c r="G62" s="6">
        <v>11800</v>
      </c>
      <c r="H62" s="6">
        <f t="shared" si="4"/>
        <v>328000</v>
      </c>
      <c r="I62" s="6">
        <f t="shared" si="5"/>
        <v>472000</v>
      </c>
      <c r="J62" s="6">
        <f t="shared" si="6"/>
        <v>144000</v>
      </c>
      <c r="K62" s="7">
        <f t="shared" si="7"/>
        <v>0.30508474576271188</v>
      </c>
    </row>
    <row r="63" spans="1:11" ht="16" x14ac:dyDescent="0.45">
      <c r="A63" s="1" t="s">
        <v>92</v>
      </c>
      <c r="B63" s="8">
        <v>45538</v>
      </c>
      <c r="C63" s="1" t="s">
        <v>24</v>
      </c>
      <c r="D63" s="1" t="s">
        <v>3</v>
      </c>
      <c r="E63" s="9">
        <v>94</v>
      </c>
      <c r="F63" s="10">
        <v>3500</v>
      </c>
      <c r="G63" s="10">
        <v>5200</v>
      </c>
      <c r="H63" s="10">
        <f t="shared" si="4"/>
        <v>329000</v>
      </c>
      <c r="I63" s="10">
        <f t="shared" si="5"/>
        <v>488800</v>
      </c>
      <c r="J63" s="10">
        <f t="shared" si="6"/>
        <v>159800</v>
      </c>
      <c r="K63" s="11">
        <f t="shared" si="7"/>
        <v>0.32692307692307693</v>
      </c>
    </row>
    <row r="64" spans="1:11" ht="16" x14ac:dyDescent="0.45">
      <c r="A64" s="3" t="s">
        <v>93</v>
      </c>
      <c r="B64" s="4">
        <v>45539</v>
      </c>
      <c r="C64" s="3" t="s">
        <v>33</v>
      </c>
      <c r="D64" s="3" t="s">
        <v>7</v>
      </c>
      <c r="E64" s="5">
        <v>12</v>
      </c>
      <c r="F64" s="6">
        <v>4100</v>
      </c>
      <c r="G64" s="6">
        <v>6300</v>
      </c>
      <c r="H64" s="6">
        <f t="shared" si="4"/>
        <v>49200</v>
      </c>
      <c r="I64" s="6">
        <f t="shared" si="5"/>
        <v>75600</v>
      </c>
      <c r="J64" s="6">
        <f t="shared" si="6"/>
        <v>26400</v>
      </c>
      <c r="K64" s="7">
        <f t="shared" si="7"/>
        <v>0.34920634920634919</v>
      </c>
    </row>
    <row r="65" spans="1:11" ht="16" x14ac:dyDescent="0.45">
      <c r="A65" s="1" t="s">
        <v>94</v>
      </c>
      <c r="B65" s="8">
        <v>45546</v>
      </c>
      <c r="C65" s="1" t="s">
        <v>36</v>
      </c>
      <c r="D65" s="1" t="s">
        <v>7</v>
      </c>
      <c r="E65" s="9">
        <v>62</v>
      </c>
      <c r="F65" s="10">
        <v>4100</v>
      </c>
      <c r="G65" s="10">
        <v>6300</v>
      </c>
      <c r="H65" s="10">
        <f t="shared" si="4"/>
        <v>254200</v>
      </c>
      <c r="I65" s="10">
        <f t="shared" si="5"/>
        <v>390600</v>
      </c>
      <c r="J65" s="10">
        <f t="shared" si="6"/>
        <v>136400</v>
      </c>
      <c r="K65" s="11">
        <f t="shared" si="7"/>
        <v>0.34920634920634919</v>
      </c>
    </row>
    <row r="66" spans="1:11" ht="16" x14ac:dyDescent="0.45">
      <c r="A66" s="3" t="s">
        <v>95</v>
      </c>
      <c r="B66" s="4">
        <v>45547</v>
      </c>
      <c r="C66" s="3" t="s">
        <v>28</v>
      </c>
      <c r="D66" s="3" t="s">
        <v>9</v>
      </c>
      <c r="E66" s="5">
        <v>64</v>
      </c>
      <c r="F66" s="6">
        <v>6800</v>
      </c>
      <c r="G66" s="6">
        <v>10500</v>
      </c>
      <c r="H66" s="6">
        <f t="shared" ref="H66:H97" si="8">E66*F66</f>
        <v>435200</v>
      </c>
      <c r="I66" s="6">
        <f t="shared" ref="I66:I97" si="9">E66*G66</f>
        <v>672000</v>
      </c>
      <c r="J66" s="6">
        <f t="shared" ref="J66:J97" si="10">I66-H66</f>
        <v>236800</v>
      </c>
      <c r="K66" s="7">
        <f t="shared" ref="K66:K97" si="11">IF(I66&gt;0, J66/I66, 0)</f>
        <v>0.35238095238095241</v>
      </c>
    </row>
    <row r="67" spans="1:11" ht="16" x14ac:dyDescent="0.45">
      <c r="A67" s="1" t="s">
        <v>96</v>
      </c>
      <c r="B67" s="8">
        <v>45548</v>
      </c>
      <c r="C67" s="1" t="s">
        <v>43</v>
      </c>
      <c r="D67" s="1" t="s">
        <v>11</v>
      </c>
      <c r="E67" s="9">
        <v>54</v>
      </c>
      <c r="F67" s="10">
        <v>18500</v>
      </c>
      <c r="G67" s="10">
        <v>27000</v>
      </c>
      <c r="H67" s="10">
        <f t="shared" si="8"/>
        <v>999000</v>
      </c>
      <c r="I67" s="10">
        <f t="shared" si="9"/>
        <v>1458000</v>
      </c>
      <c r="J67" s="10">
        <f t="shared" si="10"/>
        <v>459000</v>
      </c>
      <c r="K67" s="11">
        <f t="shared" si="11"/>
        <v>0.31481481481481483</v>
      </c>
    </row>
    <row r="68" spans="1:11" ht="16" x14ac:dyDescent="0.45">
      <c r="A68" s="3" t="s">
        <v>97</v>
      </c>
      <c r="B68" s="4">
        <v>45549</v>
      </c>
      <c r="C68" s="3" t="s">
        <v>22</v>
      </c>
      <c r="D68" s="3" t="s">
        <v>11</v>
      </c>
      <c r="E68" s="5">
        <v>32</v>
      </c>
      <c r="F68" s="6">
        <v>18500</v>
      </c>
      <c r="G68" s="6">
        <v>27000</v>
      </c>
      <c r="H68" s="6">
        <f t="shared" si="8"/>
        <v>592000</v>
      </c>
      <c r="I68" s="6">
        <f t="shared" si="9"/>
        <v>864000</v>
      </c>
      <c r="J68" s="6">
        <f t="shared" si="10"/>
        <v>272000</v>
      </c>
      <c r="K68" s="7">
        <f t="shared" si="11"/>
        <v>0.31481481481481483</v>
      </c>
    </row>
    <row r="69" spans="1:11" ht="16" x14ac:dyDescent="0.45">
      <c r="A69" s="1" t="s">
        <v>98</v>
      </c>
      <c r="B69" s="8">
        <v>45557</v>
      </c>
      <c r="C69" s="1" t="s">
        <v>28</v>
      </c>
      <c r="D69" s="1" t="s">
        <v>5</v>
      </c>
      <c r="E69" s="9">
        <v>96</v>
      </c>
      <c r="F69" s="10">
        <v>120</v>
      </c>
      <c r="G69" s="10">
        <v>190</v>
      </c>
      <c r="H69" s="10">
        <f t="shared" si="8"/>
        <v>11520</v>
      </c>
      <c r="I69" s="10">
        <f t="shared" si="9"/>
        <v>18240</v>
      </c>
      <c r="J69" s="10">
        <f t="shared" si="10"/>
        <v>6720</v>
      </c>
      <c r="K69" s="11">
        <f t="shared" si="11"/>
        <v>0.36842105263157893</v>
      </c>
    </row>
    <row r="70" spans="1:11" ht="16" x14ac:dyDescent="0.45">
      <c r="A70" s="3" t="s">
        <v>99</v>
      </c>
      <c r="B70" s="4">
        <v>45558</v>
      </c>
      <c r="C70" s="3" t="s">
        <v>26</v>
      </c>
      <c r="D70" s="3" t="s">
        <v>5</v>
      </c>
      <c r="E70" s="5">
        <v>105</v>
      </c>
      <c r="F70" s="6">
        <v>120</v>
      </c>
      <c r="G70" s="6">
        <v>190</v>
      </c>
      <c r="H70" s="6">
        <f t="shared" si="8"/>
        <v>12600</v>
      </c>
      <c r="I70" s="6">
        <f t="shared" si="9"/>
        <v>19950</v>
      </c>
      <c r="J70" s="6">
        <f t="shared" si="10"/>
        <v>7350</v>
      </c>
      <c r="K70" s="7">
        <f t="shared" si="11"/>
        <v>0.36842105263157893</v>
      </c>
    </row>
    <row r="71" spans="1:11" ht="16" x14ac:dyDescent="0.45">
      <c r="A71" s="1" t="s">
        <v>100</v>
      </c>
      <c r="B71" s="8">
        <v>45564</v>
      </c>
      <c r="C71" s="1" t="s">
        <v>31</v>
      </c>
      <c r="D71" s="1" t="s">
        <v>5</v>
      </c>
      <c r="E71" s="9">
        <v>45</v>
      </c>
      <c r="F71" s="10">
        <v>120</v>
      </c>
      <c r="G71" s="10">
        <v>190</v>
      </c>
      <c r="H71" s="10">
        <f t="shared" si="8"/>
        <v>5400</v>
      </c>
      <c r="I71" s="10">
        <f t="shared" si="9"/>
        <v>8550</v>
      </c>
      <c r="J71" s="10">
        <f t="shared" si="10"/>
        <v>3150</v>
      </c>
      <c r="K71" s="11">
        <f t="shared" si="11"/>
        <v>0.36842105263157893</v>
      </c>
    </row>
    <row r="72" spans="1:11" ht="16" x14ac:dyDescent="0.45">
      <c r="A72" s="3" t="s">
        <v>101</v>
      </c>
      <c r="B72" s="4">
        <v>45573</v>
      </c>
      <c r="C72" s="3" t="s">
        <v>36</v>
      </c>
      <c r="D72" s="3" t="s">
        <v>6</v>
      </c>
      <c r="E72" s="5">
        <v>104</v>
      </c>
      <c r="F72" s="6">
        <v>25000</v>
      </c>
      <c r="G72" s="6">
        <v>38000</v>
      </c>
      <c r="H72" s="6">
        <f t="shared" si="8"/>
        <v>2600000</v>
      </c>
      <c r="I72" s="6">
        <f t="shared" si="9"/>
        <v>3952000</v>
      </c>
      <c r="J72" s="6">
        <f t="shared" si="10"/>
        <v>1352000</v>
      </c>
      <c r="K72" s="7">
        <f t="shared" si="11"/>
        <v>0.34210526315789475</v>
      </c>
    </row>
    <row r="73" spans="1:11" ht="16" x14ac:dyDescent="0.45">
      <c r="A73" s="1" t="s">
        <v>102</v>
      </c>
      <c r="B73" s="8">
        <v>45575</v>
      </c>
      <c r="C73" s="1" t="s">
        <v>22</v>
      </c>
      <c r="D73" s="1" t="s">
        <v>10</v>
      </c>
      <c r="E73" s="9">
        <v>68</v>
      </c>
      <c r="F73" s="10">
        <v>5400</v>
      </c>
      <c r="G73" s="10">
        <v>8100</v>
      </c>
      <c r="H73" s="10">
        <f t="shared" si="8"/>
        <v>367200</v>
      </c>
      <c r="I73" s="10">
        <f t="shared" si="9"/>
        <v>550800</v>
      </c>
      <c r="J73" s="10">
        <f t="shared" si="10"/>
        <v>183600</v>
      </c>
      <c r="K73" s="11">
        <f t="shared" si="11"/>
        <v>0.33333333333333331</v>
      </c>
    </row>
    <row r="74" spans="1:11" ht="16" x14ac:dyDescent="0.45">
      <c r="A74" s="3" t="s">
        <v>103</v>
      </c>
      <c r="B74" s="4">
        <v>45576</v>
      </c>
      <c r="C74" s="3" t="s">
        <v>28</v>
      </c>
      <c r="D74" s="3" t="s">
        <v>8</v>
      </c>
      <c r="E74" s="5">
        <v>31</v>
      </c>
      <c r="F74" s="6">
        <v>9500</v>
      </c>
      <c r="G74" s="6">
        <v>14200</v>
      </c>
      <c r="H74" s="6">
        <f t="shared" si="8"/>
        <v>294500</v>
      </c>
      <c r="I74" s="6">
        <f t="shared" si="9"/>
        <v>440200</v>
      </c>
      <c r="J74" s="6">
        <f t="shared" si="10"/>
        <v>145700</v>
      </c>
      <c r="K74" s="7">
        <f t="shared" si="11"/>
        <v>0.33098591549295775</v>
      </c>
    </row>
    <row r="75" spans="1:11" ht="16" x14ac:dyDescent="0.45">
      <c r="A75" s="1" t="s">
        <v>104</v>
      </c>
      <c r="B75" s="8">
        <v>45576</v>
      </c>
      <c r="C75" s="1" t="s">
        <v>31</v>
      </c>
      <c r="D75" s="1" t="s">
        <v>10</v>
      </c>
      <c r="E75" s="9">
        <v>67</v>
      </c>
      <c r="F75" s="10">
        <v>5400</v>
      </c>
      <c r="G75" s="10">
        <v>8100</v>
      </c>
      <c r="H75" s="10">
        <f t="shared" si="8"/>
        <v>361800</v>
      </c>
      <c r="I75" s="10">
        <f t="shared" si="9"/>
        <v>542700</v>
      </c>
      <c r="J75" s="10">
        <f t="shared" si="10"/>
        <v>180900</v>
      </c>
      <c r="K75" s="11">
        <f t="shared" si="11"/>
        <v>0.33333333333333331</v>
      </c>
    </row>
    <row r="76" spans="1:11" ht="16" x14ac:dyDescent="0.45">
      <c r="A76" s="3" t="s">
        <v>105</v>
      </c>
      <c r="B76" s="4">
        <v>45579</v>
      </c>
      <c r="C76" s="3" t="s">
        <v>24</v>
      </c>
      <c r="D76" s="3" t="s">
        <v>3</v>
      </c>
      <c r="E76" s="5">
        <v>21</v>
      </c>
      <c r="F76" s="6">
        <v>3500</v>
      </c>
      <c r="G76" s="6">
        <v>5200</v>
      </c>
      <c r="H76" s="6">
        <f t="shared" si="8"/>
        <v>73500</v>
      </c>
      <c r="I76" s="6">
        <f t="shared" si="9"/>
        <v>109200</v>
      </c>
      <c r="J76" s="6">
        <f t="shared" si="10"/>
        <v>35700</v>
      </c>
      <c r="K76" s="7">
        <f t="shared" si="11"/>
        <v>0.32692307692307693</v>
      </c>
    </row>
    <row r="77" spans="1:11" ht="16" x14ac:dyDescent="0.45">
      <c r="A77" s="1" t="s">
        <v>106</v>
      </c>
      <c r="B77" s="8">
        <v>45582</v>
      </c>
      <c r="C77" s="1" t="s">
        <v>36</v>
      </c>
      <c r="D77" s="1" t="s">
        <v>10</v>
      </c>
      <c r="E77" s="9">
        <v>77</v>
      </c>
      <c r="F77" s="10">
        <v>5400</v>
      </c>
      <c r="G77" s="10">
        <v>8100</v>
      </c>
      <c r="H77" s="10">
        <f t="shared" si="8"/>
        <v>415800</v>
      </c>
      <c r="I77" s="10">
        <f t="shared" si="9"/>
        <v>623700</v>
      </c>
      <c r="J77" s="10">
        <f t="shared" si="10"/>
        <v>207900</v>
      </c>
      <c r="K77" s="11">
        <f t="shared" si="11"/>
        <v>0.33333333333333331</v>
      </c>
    </row>
    <row r="78" spans="1:11" ht="16" x14ac:dyDescent="0.45">
      <c r="A78" s="3" t="s">
        <v>107</v>
      </c>
      <c r="B78" s="4">
        <v>45588</v>
      </c>
      <c r="C78" s="3" t="s">
        <v>36</v>
      </c>
      <c r="D78" s="3" t="s">
        <v>6</v>
      </c>
      <c r="E78" s="5">
        <v>37</v>
      </c>
      <c r="F78" s="6">
        <v>25000</v>
      </c>
      <c r="G78" s="6">
        <v>38000</v>
      </c>
      <c r="H78" s="6">
        <f t="shared" si="8"/>
        <v>925000</v>
      </c>
      <c r="I78" s="6">
        <f t="shared" si="9"/>
        <v>1406000</v>
      </c>
      <c r="J78" s="6">
        <f t="shared" si="10"/>
        <v>481000</v>
      </c>
      <c r="K78" s="7">
        <f t="shared" si="11"/>
        <v>0.34210526315789475</v>
      </c>
    </row>
    <row r="79" spans="1:11" ht="16" x14ac:dyDescent="0.45">
      <c r="A79" s="1" t="s">
        <v>108</v>
      </c>
      <c r="B79" s="8">
        <v>45594</v>
      </c>
      <c r="C79" s="1" t="s">
        <v>24</v>
      </c>
      <c r="D79" s="1" t="s">
        <v>3</v>
      </c>
      <c r="E79" s="9">
        <v>88</v>
      </c>
      <c r="F79" s="10">
        <v>3500</v>
      </c>
      <c r="G79" s="10">
        <v>5200</v>
      </c>
      <c r="H79" s="10">
        <f t="shared" si="8"/>
        <v>308000</v>
      </c>
      <c r="I79" s="10">
        <f t="shared" si="9"/>
        <v>457600</v>
      </c>
      <c r="J79" s="10">
        <f t="shared" si="10"/>
        <v>149600</v>
      </c>
      <c r="K79" s="11">
        <f t="shared" si="11"/>
        <v>0.32692307692307693</v>
      </c>
    </row>
    <row r="80" spans="1:11" ht="16" x14ac:dyDescent="0.45">
      <c r="A80" s="3" t="s">
        <v>109</v>
      </c>
      <c r="B80" s="4">
        <v>45601</v>
      </c>
      <c r="C80" s="3" t="s">
        <v>43</v>
      </c>
      <c r="D80" s="3" t="s">
        <v>10</v>
      </c>
      <c r="E80" s="5">
        <v>81</v>
      </c>
      <c r="F80" s="6">
        <v>5400</v>
      </c>
      <c r="G80" s="6">
        <v>8100</v>
      </c>
      <c r="H80" s="6">
        <f t="shared" si="8"/>
        <v>437400</v>
      </c>
      <c r="I80" s="6">
        <f t="shared" si="9"/>
        <v>656100</v>
      </c>
      <c r="J80" s="6">
        <f t="shared" si="10"/>
        <v>218700</v>
      </c>
      <c r="K80" s="7">
        <f t="shared" si="11"/>
        <v>0.33333333333333331</v>
      </c>
    </row>
    <row r="81" spans="1:11" ht="16" x14ac:dyDescent="0.45">
      <c r="A81" s="1" t="s">
        <v>110</v>
      </c>
      <c r="B81" s="8">
        <v>45614</v>
      </c>
      <c r="C81" s="1" t="s">
        <v>24</v>
      </c>
      <c r="D81" s="1" t="s">
        <v>6</v>
      </c>
      <c r="E81" s="9">
        <v>96</v>
      </c>
      <c r="F81" s="10">
        <v>25000</v>
      </c>
      <c r="G81" s="10">
        <v>38000</v>
      </c>
      <c r="H81" s="10">
        <f t="shared" si="8"/>
        <v>2400000</v>
      </c>
      <c r="I81" s="10">
        <f t="shared" si="9"/>
        <v>3648000</v>
      </c>
      <c r="J81" s="10">
        <f t="shared" si="10"/>
        <v>1248000</v>
      </c>
      <c r="K81" s="11">
        <f t="shared" si="11"/>
        <v>0.34210526315789475</v>
      </c>
    </row>
    <row r="82" spans="1:11" ht="16" x14ac:dyDescent="0.45">
      <c r="A82" s="3" t="s">
        <v>111</v>
      </c>
      <c r="B82" s="4">
        <v>45619</v>
      </c>
      <c r="C82" s="3" t="s">
        <v>36</v>
      </c>
      <c r="D82" s="3" t="s">
        <v>8</v>
      </c>
      <c r="E82" s="5">
        <v>116</v>
      </c>
      <c r="F82" s="6">
        <v>9500</v>
      </c>
      <c r="G82" s="6">
        <v>14200</v>
      </c>
      <c r="H82" s="6">
        <f t="shared" si="8"/>
        <v>1102000</v>
      </c>
      <c r="I82" s="6">
        <f t="shared" si="9"/>
        <v>1647200</v>
      </c>
      <c r="J82" s="6">
        <f t="shared" si="10"/>
        <v>545200</v>
      </c>
      <c r="K82" s="7">
        <f t="shared" si="11"/>
        <v>0.33098591549295775</v>
      </c>
    </row>
    <row r="83" spans="1:11" ht="16" x14ac:dyDescent="0.45">
      <c r="A83" s="1" t="s">
        <v>112</v>
      </c>
      <c r="B83" s="8">
        <v>45621</v>
      </c>
      <c r="C83" s="1" t="s">
        <v>36</v>
      </c>
      <c r="D83" s="1" t="s">
        <v>10</v>
      </c>
      <c r="E83" s="9">
        <v>33</v>
      </c>
      <c r="F83" s="10">
        <v>5400</v>
      </c>
      <c r="G83" s="10">
        <v>8100</v>
      </c>
      <c r="H83" s="10">
        <f t="shared" si="8"/>
        <v>178200</v>
      </c>
      <c r="I83" s="10">
        <f t="shared" si="9"/>
        <v>267300</v>
      </c>
      <c r="J83" s="10">
        <f t="shared" si="10"/>
        <v>89100</v>
      </c>
      <c r="K83" s="11">
        <f t="shared" si="11"/>
        <v>0.33333333333333331</v>
      </c>
    </row>
    <row r="84" spans="1:11" ht="16" x14ac:dyDescent="0.45">
      <c r="A84" s="3" t="s">
        <v>113</v>
      </c>
      <c r="B84" s="4">
        <v>45623</v>
      </c>
      <c r="C84" s="3" t="s">
        <v>28</v>
      </c>
      <c r="D84" s="3" t="s">
        <v>6</v>
      </c>
      <c r="E84" s="5">
        <v>17</v>
      </c>
      <c r="F84" s="6">
        <v>25000</v>
      </c>
      <c r="G84" s="6">
        <v>38000</v>
      </c>
      <c r="H84" s="6">
        <f t="shared" si="8"/>
        <v>425000</v>
      </c>
      <c r="I84" s="6">
        <f t="shared" si="9"/>
        <v>646000</v>
      </c>
      <c r="J84" s="6">
        <f t="shared" si="10"/>
        <v>221000</v>
      </c>
      <c r="K84" s="7">
        <f t="shared" si="11"/>
        <v>0.34210526315789475</v>
      </c>
    </row>
    <row r="85" spans="1:11" ht="16" x14ac:dyDescent="0.45">
      <c r="A85" s="1" t="s">
        <v>114</v>
      </c>
      <c r="B85" s="8">
        <v>45636</v>
      </c>
      <c r="C85" s="1" t="s">
        <v>33</v>
      </c>
      <c r="D85" s="1" t="s">
        <v>5</v>
      </c>
      <c r="E85" s="9">
        <v>50</v>
      </c>
      <c r="F85" s="10">
        <v>120</v>
      </c>
      <c r="G85" s="10">
        <v>190</v>
      </c>
      <c r="H85" s="10">
        <f t="shared" si="8"/>
        <v>6000</v>
      </c>
      <c r="I85" s="10">
        <f t="shared" si="9"/>
        <v>9500</v>
      </c>
      <c r="J85" s="10">
        <f t="shared" si="10"/>
        <v>3500</v>
      </c>
      <c r="K85" s="11">
        <f t="shared" si="11"/>
        <v>0.36842105263157893</v>
      </c>
    </row>
    <row r="86" spans="1:11" ht="16" x14ac:dyDescent="0.45">
      <c r="A86" s="3" t="s">
        <v>115</v>
      </c>
      <c r="B86" s="4">
        <v>45636</v>
      </c>
      <c r="C86" s="3" t="s">
        <v>31</v>
      </c>
      <c r="D86" s="3" t="s">
        <v>11</v>
      </c>
      <c r="E86" s="5">
        <v>39</v>
      </c>
      <c r="F86" s="6">
        <v>18500</v>
      </c>
      <c r="G86" s="6">
        <v>27000</v>
      </c>
      <c r="H86" s="6">
        <f t="shared" si="8"/>
        <v>721500</v>
      </c>
      <c r="I86" s="6">
        <f t="shared" si="9"/>
        <v>1053000</v>
      </c>
      <c r="J86" s="6">
        <f t="shared" si="10"/>
        <v>331500</v>
      </c>
      <c r="K86" s="7">
        <f t="shared" si="11"/>
        <v>0.31481481481481483</v>
      </c>
    </row>
    <row r="87" spans="1:11" ht="16" x14ac:dyDescent="0.45">
      <c r="A87" s="1" t="s">
        <v>116</v>
      </c>
      <c r="B87" s="8">
        <v>45643</v>
      </c>
      <c r="C87" s="1" t="s">
        <v>24</v>
      </c>
      <c r="D87" s="1" t="s">
        <v>5</v>
      </c>
      <c r="E87" s="9">
        <v>10</v>
      </c>
      <c r="F87" s="10">
        <v>120</v>
      </c>
      <c r="G87" s="10">
        <v>190</v>
      </c>
      <c r="H87" s="10">
        <f t="shared" si="8"/>
        <v>1200</v>
      </c>
      <c r="I87" s="10">
        <f t="shared" si="9"/>
        <v>1900</v>
      </c>
      <c r="J87" s="10">
        <f t="shared" si="10"/>
        <v>700</v>
      </c>
      <c r="K87" s="11">
        <f t="shared" si="11"/>
        <v>0.36842105263157893</v>
      </c>
    </row>
    <row r="88" spans="1:11" ht="16" x14ac:dyDescent="0.45">
      <c r="A88" s="3" t="s">
        <v>117</v>
      </c>
      <c r="B88" s="4">
        <v>45645</v>
      </c>
      <c r="C88" s="3" t="s">
        <v>31</v>
      </c>
      <c r="D88" s="3" t="s">
        <v>11</v>
      </c>
      <c r="E88" s="5">
        <v>86</v>
      </c>
      <c r="F88" s="6">
        <v>18500</v>
      </c>
      <c r="G88" s="6">
        <v>27000</v>
      </c>
      <c r="H88" s="6">
        <f t="shared" si="8"/>
        <v>1591000</v>
      </c>
      <c r="I88" s="6">
        <f t="shared" si="9"/>
        <v>2322000</v>
      </c>
      <c r="J88" s="6">
        <f t="shared" si="10"/>
        <v>731000</v>
      </c>
      <c r="K88" s="7">
        <f t="shared" si="11"/>
        <v>0.31481481481481483</v>
      </c>
    </row>
    <row r="89" spans="1:11" ht="16" x14ac:dyDescent="0.45">
      <c r="A89" s="1" t="s">
        <v>118</v>
      </c>
      <c r="B89" s="8">
        <v>45645</v>
      </c>
      <c r="C89" s="1" t="s">
        <v>24</v>
      </c>
      <c r="D89" s="1" t="s">
        <v>4</v>
      </c>
      <c r="E89" s="9">
        <v>119</v>
      </c>
      <c r="F89" s="10">
        <v>8200</v>
      </c>
      <c r="G89" s="10">
        <v>11800</v>
      </c>
      <c r="H89" s="10">
        <f t="shared" si="8"/>
        <v>975800</v>
      </c>
      <c r="I89" s="10">
        <f t="shared" si="9"/>
        <v>1404200</v>
      </c>
      <c r="J89" s="10">
        <f t="shared" si="10"/>
        <v>428400</v>
      </c>
      <c r="K89" s="11">
        <f t="shared" si="11"/>
        <v>0.30508474576271188</v>
      </c>
    </row>
    <row r="90" spans="1:11" ht="16" x14ac:dyDescent="0.45">
      <c r="A90" s="3" t="s">
        <v>119</v>
      </c>
      <c r="B90" s="4">
        <v>45649</v>
      </c>
      <c r="C90" s="3" t="s">
        <v>26</v>
      </c>
      <c r="D90" s="3" t="s">
        <v>4</v>
      </c>
      <c r="E90" s="5">
        <v>73</v>
      </c>
      <c r="F90" s="6">
        <v>8200</v>
      </c>
      <c r="G90" s="6">
        <v>11800</v>
      </c>
      <c r="H90" s="6">
        <f t="shared" si="8"/>
        <v>598600</v>
      </c>
      <c r="I90" s="6">
        <f t="shared" si="9"/>
        <v>861400</v>
      </c>
      <c r="J90" s="6">
        <f t="shared" si="10"/>
        <v>262800</v>
      </c>
      <c r="K90" s="7">
        <f t="shared" si="11"/>
        <v>0.30508474576271188</v>
      </c>
    </row>
    <row r="91" spans="1:11" ht="16" x14ac:dyDescent="0.45">
      <c r="A91" s="1" t="s">
        <v>120</v>
      </c>
      <c r="B91" s="8">
        <v>45649</v>
      </c>
      <c r="C91" s="1" t="s">
        <v>36</v>
      </c>
      <c r="D91" s="1" t="s">
        <v>4</v>
      </c>
      <c r="E91" s="9">
        <v>51</v>
      </c>
      <c r="F91" s="10">
        <v>8200</v>
      </c>
      <c r="G91" s="10">
        <v>11800</v>
      </c>
      <c r="H91" s="10">
        <f t="shared" si="8"/>
        <v>418200</v>
      </c>
      <c r="I91" s="10">
        <f t="shared" si="9"/>
        <v>601800</v>
      </c>
      <c r="J91" s="10">
        <f t="shared" si="10"/>
        <v>183600</v>
      </c>
      <c r="K91" s="11">
        <f t="shared" si="11"/>
        <v>0.30508474576271188</v>
      </c>
    </row>
    <row r="92" spans="1:11" ht="16" x14ac:dyDescent="0.45">
      <c r="A92" s="3" t="s">
        <v>121</v>
      </c>
      <c r="B92" s="4">
        <v>45651</v>
      </c>
      <c r="C92" s="3" t="s">
        <v>33</v>
      </c>
      <c r="D92" s="3" t="s">
        <v>8</v>
      </c>
      <c r="E92" s="5">
        <v>29</v>
      </c>
      <c r="F92" s="6">
        <v>9500</v>
      </c>
      <c r="G92" s="6">
        <v>14200</v>
      </c>
      <c r="H92" s="6">
        <f t="shared" si="8"/>
        <v>275500</v>
      </c>
      <c r="I92" s="6">
        <f t="shared" si="9"/>
        <v>411800</v>
      </c>
      <c r="J92" s="6">
        <f t="shared" si="10"/>
        <v>136300</v>
      </c>
      <c r="K92" s="7">
        <f t="shared" si="11"/>
        <v>0.33098591549295775</v>
      </c>
    </row>
    <row r="93" spans="1:11" ht="16" x14ac:dyDescent="0.45">
      <c r="A93" s="1" t="s">
        <v>122</v>
      </c>
      <c r="B93" s="8">
        <v>45653</v>
      </c>
      <c r="C93" s="1" t="s">
        <v>28</v>
      </c>
      <c r="D93" s="1" t="s">
        <v>5</v>
      </c>
      <c r="E93" s="9">
        <v>70</v>
      </c>
      <c r="F93" s="10">
        <v>120</v>
      </c>
      <c r="G93" s="10">
        <v>190</v>
      </c>
      <c r="H93" s="10">
        <f t="shared" si="8"/>
        <v>8400</v>
      </c>
      <c r="I93" s="10">
        <f t="shared" si="9"/>
        <v>13300</v>
      </c>
      <c r="J93" s="10">
        <f t="shared" si="10"/>
        <v>4900</v>
      </c>
      <c r="K93" s="11">
        <f t="shared" si="11"/>
        <v>0.36842105263157893</v>
      </c>
    </row>
    <row r="94" spans="1:11" ht="16" x14ac:dyDescent="0.45">
      <c r="A94" s="3" t="s">
        <v>123</v>
      </c>
      <c r="B94" s="4">
        <v>45664</v>
      </c>
      <c r="C94" s="3" t="s">
        <v>33</v>
      </c>
      <c r="D94" s="3" t="s">
        <v>11</v>
      </c>
      <c r="E94" s="5">
        <v>14</v>
      </c>
      <c r="F94" s="6">
        <v>18500</v>
      </c>
      <c r="G94" s="6">
        <v>27000</v>
      </c>
      <c r="H94" s="6">
        <f t="shared" si="8"/>
        <v>259000</v>
      </c>
      <c r="I94" s="6">
        <f t="shared" si="9"/>
        <v>378000</v>
      </c>
      <c r="J94" s="6">
        <f t="shared" si="10"/>
        <v>119000</v>
      </c>
      <c r="K94" s="7">
        <f t="shared" si="11"/>
        <v>0.31481481481481483</v>
      </c>
    </row>
    <row r="95" spans="1:11" ht="16" x14ac:dyDescent="0.45">
      <c r="A95" s="1" t="s">
        <v>124</v>
      </c>
      <c r="B95" s="8">
        <v>45672</v>
      </c>
      <c r="C95" s="1" t="s">
        <v>33</v>
      </c>
      <c r="D95" s="1" t="s">
        <v>6</v>
      </c>
      <c r="E95" s="9">
        <v>60</v>
      </c>
      <c r="F95" s="10">
        <v>25000</v>
      </c>
      <c r="G95" s="10">
        <v>38000</v>
      </c>
      <c r="H95" s="10">
        <f t="shared" si="8"/>
        <v>1500000</v>
      </c>
      <c r="I95" s="10">
        <f t="shared" si="9"/>
        <v>2280000</v>
      </c>
      <c r="J95" s="10">
        <f t="shared" si="10"/>
        <v>780000</v>
      </c>
      <c r="K95" s="11">
        <f t="shared" si="11"/>
        <v>0.34210526315789475</v>
      </c>
    </row>
    <row r="96" spans="1:11" ht="16" x14ac:dyDescent="0.45">
      <c r="A96" s="3" t="s">
        <v>125</v>
      </c>
      <c r="B96" s="4">
        <v>45678</v>
      </c>
      <c r="C96" s="3" t="s">
        <v>33</v>
      </c>
      <c r="D96" s="3" t="s">
        <v>3</v>
      </c>
      <c r="E96" s="5">
        <v>34</v>
      </c>
      <c r="F96" s="6">
        <v>3500</v>
      </c>
      <c r="G96" s="6">
        <v>5200</v>
      </c>
      <c r="H96" s="6">
        <f t="shared" si="8"/>
        <v>119000</v>
      </c>
      <c r="I96" s="6">
        <f t="shared" si="9"/>
        <v>176800</v>
      </c>
      <c r="J96" s="6">
        <f t="shared" si="10"/>
        <v>57800</v>
      </c>
      <c r="K96" s="7">
        <f t="shared" si="11"/>
        <v>0.32692307692307693</v>
      </c>
    </row>
    <row r="97" spans="1:11" ht="16" x14ac:dyDescent="0.45">
      <c r="A97" s="1" t="s">
        <v>126</v>
      </c>
      <c r="B97" s="8">
        <v>45679</v>
      </c>
      <c r="C97" s="1" t="s">
        <v>31</v>
      </c>
      <c r="D97" s="1" t="s">
        <v>6</v>
      </c>
      <c r="E97" s="9">
        <v>118</v>
      </c>
      <c r="F97" s="10">
        <v>25000</v>
      </c>
      <c r="G97" s="10">
        <v>38000</v>
      </c>
      <c r="H97" s="10">
        <f t="shared" si="8"/>
        <v>2950000</v>
      </c>
      <c r="I97" s="10">
        <f t="shared" si="9"/>
        <v>4484000</v>
      </c>
      <c r="J97" s="10">
        <f t="shared" si="10"/>
        <v>1534000</v>
      </c>
      <c r="K97" s="11">
        <f t="shared" si="11"/>
        <v>0.34210526315789475</v>
      </c>
    </row>
    <row r="98" spans="1:11" ht="16" x14ac:dyDescent="0.45">
      <c r="A98" s="3" t="s">
        <v>127</v>
      </c>
      <c r="B98" s="4">
        <v>45682</v>
      </c>
      <c r="C98" s="3" t="s">
        <v>24</v>
      </c>
      <c r="D98" s="3" t="s">
        <v>3</v>
      </c>
      <c r="E98" s="5">
        <v>113</v>
      </c>
      <c r="F98" s="6">
        <v>3500</v>
      </c>
      <c r="G98" s="6">
        <v>5200</v>
      </c>
      <c r="H98" s="6">
        <f t="shared" ref="H98:H129" si="12">E98*F98</f>
        <v>395500</v>
      </c>
      <c r="I98" s="6">
        <f t="shared" ref="I98:I129" si="13">E98*G98</f>
        <v>587600</v>
      </c>
      <c r="J98" s="6">
        <f t="shared" ref="J98:J129" si="14">I98-H98</f>
        <v>192100</v>
      </c>
      <c r="K98" s="7">
        <f t="shared" ref="K98:K129" si="15">IF(I98&gt;0, J98/I98, 0)</f>
        <v>0.32692307692307693</v>
      </c>
    </row>
    <row r="99" spans="1:11" ht="16" x14ac:dyDescent="0.45">
      <c r="A99" s="1" t="s">
        <v>128</v>
      </c>
      <c r="B99" s="8">
        <v>45684</v>
      </c>
      <c r="C99" s="1" t="s">
        <v>48</v>
      </c>
      <c r="D99" s="1" t="s">
        <v>7</v>
      </c>
      <c r="E99" s="9">
        <v>9</v>
      </c>
      <c r="F99" s="10">
        <v>4100</v>
      </c>
      <c r="G99" s="10">
        <v>6300</v>
      </c>
      <c r="H99" s="10">
        <f t="shared" si="12"/>
        <v>36900</v>
      </c>
      <c r="I99" s="10">
        <f t="shared" si="13"/>
        <v>56700</v>
      </c>
      <c r="J99" s="10">
        <f t="shared" si="14"/>
        <v>19800</v>
      </c>
      <c r="K99" s="11">
        <f t="shared" si="15"/>
        <v>0.34920634920634919</v>
      </c>
    </row>
    <row r="100" spans="1:11" ht="16" x14ac:dyDescent="0.45">
      <c r="A100" s="3" t="s">
        <v>129</v>
      </c>
      <c r="B100" s="4">
        <v>45685</v>
      </c>
      <c r="C100" s="3" t="s">
        <v>26</v>
      </c>
      <c r="D100" s="3" t="s">
        <v>6</v>
      </c>
      <c r="E100" s="5">
        <v>37</v>
      </c>
      <c r="F100" s="6">
        <v>25000</v>
      </c>
      <c r="G100" s="6">
        <v>38000</v>
      </c>
      <c r="H100" s="6">
        <f t="shared" si="12"/>
        <v>925000</v>
      </c>
      <c r="I100" s="6">
        <f t="shared" si="13"/>
        <v>1406000</v>
      </c>
      <c r="J100" s="6">
        <f t="shared" si="14"/>
        <v>481000</v>
      </c>
      <c r="K100" s="7">
        <f t="shared" si="15"/>
        <v>0.34210526315789475</v>
      </c>
    </row>
    <row r="101" spans="1:11" ht="16" x14ac:dyDescent="0.45">
      <c r="A101" s="1" t="s">
        <v>130</v>
      </c>
      <c r="B101" s="8">
        <v>45690</v>
      </c>
      <c r="C101" s="1" t="s">
        <v>22</v>
      </c>
      <c r="D101" s="1" t="s">
        <v>10</v>
      </c>
      <c r="E101" s="9">
        <v>69</v>
      </c>
      <c r="F101" s="10">
        <v>5400</v>
      </c>
      <c r="G101" s="10">
        <v>8100</v>
      </c>
      <c r="H101" s="10">
        <f t="shared" si="12"/>
        <v>372600</v>
      </c>
      <c r="I101" s="10">
        <f t="shared" si="13"/>
        <v>558900</v>
      </c>
      <c r="J101" s="10">
        <f t="shared" si="14"/>
        <v>186300</v>
      </c>
      <c r="K101" s="11">
        <f t="shared" si="15"/>
        <v>0.33333333333333331</v>
      </c>
    </row>
    <row r="102" spans="1:11" ht="16" x14ac:dyDescent="0.45">
      <c r="A102" s="3" t="s">
        <v>131</v>
      </c>
      <c r="B102" s="4">
        <v>45691</v>
      </c>
      <c r="C102" s="3" t="s">
        <v>33</v>
      </c>
      <c r="D102" s="3" t="s">
        <v>10</v>
      </c>
      <c r="E102" s="5">
        <v>22</v>
      </c>
      <c r="F102" s="6">
        <v>5400</v>
      </c>
      <c r="G102" s="6">
        <v>8100</v>
      </c>
      <c r="H102" s="6">
        <f t="shared" si="12"/>
        <v>118800</v>
      </c>
      <c r="I102" s="6">
        <f t="shared" si="13"/>
        <v>178200</v>
      </c>
      <c r="J102" s="6">
        <f t="shared" si="14"/>
        <v>59400</v>
      </c>
      <c r="K102" s="7">
        <f t="shared" si="15"/>
        <v>0.33333333333333331</v>
      </c>
    </row>
    <row r="103" spans="1:11" ht="16" x14ac:dyDescent="0.45">
      <c r="A103" s="1" t="s">
        <v>132</v>
      </c>
      <c r="B103" s="8">
        <v>45691</v>
      </c>
      <c r="C103" s="1" t="s">
        <v>43</v>
      </c>
      <c r="D103" s="1" t="s">
        <v>9</v>
      </c>
      <c r="E103" s="9">
        <v>100</v>
      </c>
      <c r="F103" s="10">
        <v>6800</v>
      </c>
      <c r="G103" s="10">
        <v>10500</v>
      </c>
      <c r="H103" s="10">
        <f t="shared" si="12"/>
        <v>680000</v>
      </c>
      <c r="I103" s="10">
        <f t="shared" si="13"/>
        <v>1050000</v>
      </c>
      <c r="J103" s="10">
        <f t="shared" si="14"/>
        <v>370000</v>
      </c>
      <c r="K103" s="11">
        <f t="shared" si="15"/>
        <v>0.35238095238095241</v>
      </c>
    </row>
    <row r="104" spans="1:11" ht="16" x14ac:dyDescent="0.45">
      <c r="A104" s="3" t="s">
        <v>133</v>
      </c>
      <c r="B104" s="4">
        <v>45692</v>
      </c>
      <c r="C104" s="3" t="s">
        <v>31</v>
      </c>
      <c r="D104" s="3" t="s">
        <v>5</v>
      </c>
      <c r="E104" s="5">
        <v>115</v>
      </c>
      <c r="F104" s="6">
        <v>120</v>
      </c>
      <c r="G104" s="6">
        <v>190</v>
      </c>
      <c r="H104" s="6">
        <f t="shared" si="12"/>
        <v>13800</v>
      </c>
      <c r="I104" s="6">
        <f t="shared" si="13"/>
        <v>21850</v>
      </c>
      <c r="J104" s="6">
        <f t="shared" si="14"/>
        <v>8050</v>
      </c>
      <c r="K104" s="7">
        <f t="shared" si="15"/>
        <v>0.36842105263157893</v>
      </c>
    </row>
    <row r="105" spans="1:11" ht="16" x14ac:dyDescent="0.45">
      <c r="A105" s="1" t="s">
        <v>134</v>
      </c>
      <c r="B105" s="8">
        <v>45693</v>
      </c>
      <c r="C105" s="1" t="s">
        <v>28</v>
      </c>
      <c r="D105" s="1" t="s">
        <v>3</v>
      </c>
      <c r="E105" s="9">
        <v>53</v>
      </c>
      <c r="F105" s="10">
        <v>3500</v>
      </c>
      <c r="G105" s="10">
        <v>5200</v>
      </c>
      <c r="H105" s="10">
        <f t="shared" si="12"/>
        <v>185500</v>
      </c>
      <c r="I105" s="10">
        <f t="shared" si="13"/>
        <v>275600</v>
      </c>
      <c r="J105" s="10">
        <f t="shared" si="14"/>
        <v>90100</v>
      </c>
      <c r="K105" s="11">
        <f t="shared" si="15"/>
        <v>0.32692307692307693</v>
      </c>
    </row>
    <row r="106" spans="1:11" ht="16" x14ac:dyDescent="0.45">
      <c r="A106" s="3" t="s">
        <v>135</v>
      </c>
      <c r="B106" s="4">
        <v>45693</v>
      </c>
      <c r="C106" s="3" t="s">
        <v>22</v>
      </c>
      <c r="D106" s="3" t="s">
        <v>3</v>
      </c>
      <c r="E106" s="5">
        <v>15</v>
      </c>
      <c r="F106" s="6">
        <v>3500</v>
      </c>
      <c r="G106" s="6">
        <v>5200</v>
      </c>
      <c r="H106" s="6">
        <f t="shared" si="12"/>
        <v>52500</v>
      </c>
      <c r="I106" s="6">
        <f t="shared" si="13"/>
        <v>78000</v>
      </c>
      <c r="J106" s="6">
        <f t="shared" si="14"/>
        <v>25500</v>
      </c>
      <c r="K106" s="7">
        <f t="shared" si="15"/>
        <v>0.32692307692307693</v>
      </c>
    </row>
    <row r="107" spans="1:11" ht="16" x14ac:dyDescent="0.45">
      <c r="A107" s="1" t="s">
        <v>136</v>
      </c>
      <c r="B107" s="8">
        <v>45695</v>
      </c>
      <c r="C107" s="1" t="s">
        <v>48</v>
      </c>
      <c r="D107" s="1" t="s">
        <v>5</v>
      </c>
      <c r="E107" s="9">
        <v>89</v>
      </c>
      <c r="F107" s="10">
        <v>120</v>
      </c>
      <c r="G107" s="10">
        <v>190</v>
      </c>
      <c r="H107" s="10">
        <f t="shared" si="12"/>
        <v>10680</v>
      </c>
      <c r="I107" s="10">
        <f t="shared" si="13"/>
        <v>16910</v>
      </c>
      <c r="J107" s="10">
        <f t="shared" si="14"/>
        <v>6230</v>
      </c>
      <c r="K107" s="11">
        <f t="shared" si="15"/>
        <v>0.36842105263157893</v>
      </c>
    </row>
    <row r="108" spans="1:11" ht="16" x14ac:dyDescent="0.45">
      <c r="A108" s="3" t="s">
        <v>137</v>
      </c>
      <c r="B108" s="4">
        <v>45697</v>
      </c>
      <c r="C108" s="3" t="s">
        <v>43</v>
      </c>
      <c r="D108" s="3" t="s">
        <v>8</v>
      </c>
      <c r="E108" s="5">
        <v>30</v>
      </c>
      <c r="F108" s="6">
        <v>9500</v>
      </c>
      <c r="G108" s="6">
        <v>14200</v>
      </c>
      <c r="H108" s="6">
        <f t="shared" si="12"/>
        <v>285000</v>
      </c>
      <c r="I108" s="6">
        <f t="shared" si="13"/>
        <v>426000</v>
      </c>
      <c r="J108" s="6">
        <f t="shared" si="14"/>
        <v>141000</v>
      </c>
      <c r="K108" s="7">
        <f t="shared" si="15"/>
        <v>0.33098591549295775</v>
      </c>
    </row>
    <row r="109" spans="1:11" ht="16" x14ac:dyDescent="0.45">
      <c r="A109" s="1" t="s">
        <v>138</v>
      </c>
      <c r="B109" s="8">
        <v>45698</v>
      </c>
      <c r="C109" s="1" t="s">
        <v>48</v>
      </c>
      <c r="D109" s="1" t="s">
        <v>9</v>
      </c>
      <c r="E109" s="9">
        <v>67</v>
      </c>
      <c r="F109" s="10">
        <v>6800</v>
      </c>
      <c r="G109" s="10">
        <v>10500</v>
      </c>
      <c r="H109" s="10">
        <f t="shared" si="12"/>
        <v>455600</v>
      </c>
      <c r="I109" s="10">
        <f t="shared" si="13"/>
        <v>703500</v>
      </c>
      <c r="J109" s="10">
        <f t="shared" si="14"/>
        <v>247900</v>
      </c>
      <c r="K109" s="11">
        <f t="shared" si="15"/>
        <v>0.35238095238095241</v>
      </c>
    </row>
    <row r="110" spans="1:11" ht="16" x14ac:dyDescent="0.45">
      <c r="A110" s="3" t="s">
        <v>139</v>
      </c>
      <c r="B110" s="4">
        <v>45703</v>
      </c>
      <c r="C110" s="3" t="s">
        <v>22</v>
      </c>
      <c r="D110" s="3" t="s">
        <v>8</v>
      </c>
      <c r="E110" s="5">
        <v>93</v>
      </c>
      <c r="F110" s="6">
        <v>9500</v>
      </c>
      <c r="G110" s="6">
        <v>14200</v>
      </c>
      <c r="H110" s="6">
        <f t="shared" si="12"/>
        <v>883500</v>
      </c>
      <c r="I110" s="6">
        <f t="shared" si="13"/>
        <v>1320600</v>
      </c>
      <c r="J110" s="6">
        <f t="shared" si="14"/>
        <v>437100</v>
      </c>
      <c r="K110" s="7">
        <f t="shared" si="15"/>
        <v>0.33098591549295775</v>
      </c>
    </row>
    <row r="111" spans="1:11" ht="16" x14ac:dyDescent="0.45">
      <c r="A111" s="1" t="s">
        <v>140</v>
      </c>
      <c r="B111" s="8">
        <v>45707</v>
      </c>
      <c r="C111" s="1" t="s">
        <v>33</v>
      </c>
      <c r="D111" s="1" t="s">
        <v>8</v>
      </c>
      <c r="E111" s="9">
        <v>90</v>
      </c>
      <c r="F111" s="10">
        <v>9500</v>
      </c>
      <c r="G111" s="10">
        <v>14200</v>
      </c>
      <c r="H111" s="10">
        <f t="shared" si="12"/>
        <v>855000</v>
      </c>
      <c r="I111" s="10">
        <f t="shared" si="13"/>
        <v>1278000</v>
      </c>
      <c r="J111" s="10">
        <f t="shared" si="14"/>
        <v>423000</v>
      </c>
      <c r="K111" s="11">
        <f t="shared" si="15"/>
        <v>0.33098591549295775</v>
      </c>
    </row>
    <row r="112" spans="1:11" ht="16" x14ac:dyDescent="0.45">
      <c r="A112" s="3" t="s">
        <v>141</v>
      </c>
      <c r="B112" s="4">
        <v>45712</v>
      </c>
      <c r="C112" s="3" t="s">
        <v>43</v>
      </c>
      <c r="D112" s="3" t="s">
        <v>8</v>
      </c>
      <c r="E112" s="5">
        <v>63</v>
      </c>
      <c r="F112" s="6">
        <v>9500</v>
      </c>
      <c r="G112" s="6">
        <v>14200</v>
      </c>
      <c r="H112" s="6">
        <f t="shared" si="12"/>
        <v>598500</v>
      </c>
      <c r="I112" s="6">
        <f t="shared" si="13"/>
        <v>894600</v>
      </c>
      <c r="J112" s="6">
        <f t="shared" si="14"/>
        <v>296100</v>
      </c>
      <c r="K112" s="7">
        <f t="shared" si="15"/>
        <v>0.33098591549295775</v>
      </c>
    </row>
    <row r="113" spans="1:11" ht="16" x14ac:dyDescent="0.45">
      <c r="A113" s="1" t="s">
        <v>142</v>
      </c>
      <c r="B113" s="8">
        <v>45712</v>
      </c>
      <c r="C113" s="1" t="s">
        <v>48</v>
      </c>
      <c r="D113" s="1" t="s">
        <v>5</v>
      </c>
      <c r="E113" s="9">
        <v>31</v>
      </c>
      <c r="F113" s="10">
        <v>120</v>
      </c>
      <c r="G113" s="10">
        <v>190</v>
      </c>
      <c r="H113" s="10">
        <f t="shared" si="12"/>
        <v>3720</v>
      </c>
      <c r="I113" s="10">
        <f t="shared" si="13"/>
        <v>5890</v>
      </c>
      <c r="J113" s="10">
        <f t="shared" si="14"/>
        <v>2170</v>
      </c>
      <c r="K113" s="11">
        <f t="shared" si="15"/>
        <v>0.36842105263157893</v>
      </c>
    </row>
    <row r="114" spans="1:11" ht="16" x14ac:dyDescent="0.45">
      <c r="A114" s="3" t="s">
        <v>143</v>
      </c>
      <c r="B114" s="4">
        <v>45716</v>
      </c>
      <c r="C114" s="3" t="s">
        <v>28</v>
      </c>
      <c r="D114" s="3" t="s">
        <v>8</v>
      </c>
      <c r="E114" s="5">
        <v>53</v>
      </c>
      <c r="F114" s="6">
        <v>9500</v>
      </c>
      <c r="G114" s="6">
        <v>14200</v>
      </c>
      <c r="H114" s="6">
        <f t="shared" si="12"/>
        <v>503500</v>
      </c>
      <c r="I114" s="6">
        <f t="shared" si="13"/>
        <v>752600</v>
      </c>
      <c r="J114" s="6">
        <f t="shared" si="14"/>
        <v>249100</v>
      </c>
      <c r="K114" s="7">
        <f t="shared" si="15"/>
        <v>0.33098591549295775</v>
      </c>
    </row>
    <row r="115" spans="1:11" ht="16" x14ac:dyDescent="0.45">
      <c r="A115" s="1" t="s">
        <v>144</v>
      </c>
      <c r="B115" s="8">
        <v>45719</v>
      </c>
      <c r="C115" s="1" t="s">
        <v>24</v>
      </c>
      <c r="D115" s="1" t="s">
        <v>10</v>
      </c>
      <c r="E115" s="9">
        <v>81</v>
      </c>
      <c r="F115" s="10">
        <v>5400</v>
      </c>
      <c r="G115" s="10">
        <v>8100</v>
      </c>
      <c r="H115" s="10">
        <f t="shared" si="12"/>
        <v>437400</v>
      </c>
      <c r="I115" s="10">
        <f t="shared" si="13"/>
        <v>656100</v>
      </c>
      <c r="J115" s="10">
        <f t="shared" si="14"/>
        <v>218700</v>
      </c>
      <c r="K115" s="11">
        <f t="shared" si="15"/>
        <v>0.33333333333333331</v>
      </c>
    </row>
    <row r="116" spans="1:11" ht="16" x14ac:dyDescent="0.45">
      <c r="A116" s="3" t="s">
        <v>145</v>
      </c>
      <c r="B116" s="4">
        <v>45724</v>
      </c>
      <c r="C116" s="3" t="s">
        <v>36</v>
      </c>
      <c r="D116" s="3" t="s">
        <v>4</v>
      </c>
      <c r="E116" s="5">
        <v>37</v>
      </c>
      <c r="F116" s="6">
        <v>8200</v>
      </c>
      <c r="G116" s="6">
        <v>11800</v>
      </c>
      <c r="H116" s="6">
        <f t="shared" si="12"/>
        <v>303400</v>
      </c>
      <c r="I116" s="6">
        <f t="shared" si="13"/>
        <v>436600</v>
      </c>
      <c r="J116" s="6">
        <f t="shared" si="14"/>
        <v>133200</v>
      </c>
      <c r="K116" s="7">
        <f t="shared" si="15"/>
        <v>0.30508474576271188</v>
      </c>
    </row>
    <row r="117" spans="1:11" ht="16" x14ac:dyDescent="0.45">
      <c r="A117" s="1" t="s">
        <v>146</v>
      </c>
      <c r="B117" s="8">
        <v>45733</v>
      </c>
      <c r="C117" s="1" t="s">
        <v>24</v>
      </c>
      <c r="D117" s="1" t="s">
        <v>7</v>
      </c>
      <c r="E117" s="9">
        <v>102</v>
      </c>
      <c r="F117" s="10">
        <v>4100</v>
      </c>
      <c r="G117" s="10">
        <v>6300</v>
      </c>
      <c r="H117" s="10">
        <f t="shared" si="12"/>
        <v>418200</v>
      </c>
      <c r="I117" s="10">
        <f t="shared" si="13"/>
        <v>642600</v>
      </c>
      <c r="J117" s="10">
        <f t="shared" si="14"/>
        <v>224400</v>
      </c>
      <c r="K117" s="11">
        <f t="shared" si="15"/>
        <v>0.34920634920634919</v>
      </c>
    </row>
    <row r="118" spans="1:11" ht="16" x14ac:dyDescent="0.45">
      <c r="A118" s="3" t="s">
        <v>147</v>
      </c>
      <c r="B118" s="4">
        <v>45741</v>
      </c>
      <c r="C118" s="3" t="s">
        <v>22</v>
      </c>
      <c r="D118" s="3" t="s">
        <v>3</v>
      </c>
      <c r="E118" s="5">
        <v>109</v>
      </c>
      <c r="F118" s="6">
        <v>3500</v>
      </c>
      <c r="G118" s="6">
        <v>5200</v>
      </c>
      <c r="H118" s="6">
        <f t="shared" si="12"/>
        <v>381500</v>
      </c>
      <c r="I118" s="6">
        <f t="shared" si="13"/>
        <v>566800</v>
      </c>
      <c r="J118" s="6">
        <f t="shared" si="14"/>
        <v>185300</v>
      </c>
      <c r="K118" s="7">
        <f t="shared" si="15"/>
        <v>0.32692307692307693</v>
      </c>
    </row>
    <row r="119" spans="1:11" ht="16" x14ac:dyDescent="0.45">
      <c r="A119" s="1" t="s">
        <v>148</v>
      </c>
      <c r="B119" s="8">
        <v>45747</v>
      </c>
      <c r="C119" s="1" t="s">
        <v>31</v>
      </c>
      <c r="D119" s="1" t="s">
        <v>3</v>
      </c>
      <c r="E119" s="9">
        <v>103</v>
      </c>
      <c r="F119" s="10">
        <v>3500</v>
      </c>
      <c r="G119" s="10">
        <v>5200</v>
      </c>
      <c r="H119" s="10">
        <f t="shared" si="12"/>
        <v>360500</v>
      </c>
      <c r="I119" s="10">
        <f t="shared" si="13"/>
        <v>535600</v>
      </c>
      <c r="J119" s="10">
        <f t="shared" si="14"/>
        <v>175100</v>
      </c>
      <c r="K119" s="11">
        <f t="shared" si="15"/>
        <v>0.32692307692307693</v>
      </c>
    </row>
    <row r="120" spans="1:11" ht="16" x14ac:dyDescent="0.45">
      <c r="A120" s="3" t="s">
        <v>149</v>
      </c>
      <c r="B120" s="4">
        <v>45760</v>
      </c>
      <c r="C120" s="3" t="s">
        <v>36</v>
      </c>
      <c r="D120" s="3" t="s">
        <v>7</v>
      </c>
      <c r="E120" s="5">
        <v>5</v>
      </c>
      <c r="F120" s="6">
        <v>4100</v>
      </c>
      <c r="G120" s="6">
        <v>6300</v>
      </c>
      <c r="H120" s="6">
        <f t="shared" si="12"/>
        <v>20500</v>
      </c>
      <c r="I120" s="6">
        <f t="shared" si="13"/>
        <v>31500</v>
      </c>
      <c r="J120" s="6">
        <f t="shared" si="14"/>
        <v>11000</v>
      </c>
      <c r="K120" s="7">
        <f t="shared" si="15"/>
        <v>0.34920634920634919</v>
      </c>
    </row>
    <row r="121" spans="1:11" ht="16" x14ac:dyDescent="0.45">
      <c r="A121" s="1" t="s">
        <v>150</v>
      </c>
      <c r="B121" s="8">
        <v>45761</v>
      </c>
      <c r="C121" s="1" t="s">
        <v>26</v>
      </c>
      <c r="D121" s="1" t="s">
        <v>5</v>
      </c>
      <c r="E121" s="9">
        <v>25</v>
      </c>
      <c r="F121" s="10">
        <v>120</v>
      </c>
      <c r="G121" s="10">
        <v>190</v>
      </c>
      <c r="H121" s="10">
        <f t="shared" si="12"/>
        <v>3000</v>
      </c>
      <c r="I121" s="10">
        <f t="shared" si="13"/>
        <v>4750</v>
      </c>
      <c r="J121" s="10">
        <f t="shared" si="14"/>
        <v>1750</v>
      </c>
      <c r="K121" s="11">
        <f t="shared" si="15"/>
        <v>0.36842105263157893</v>
      </c>
    </row>
    <row r="122" spans="1:11" ht="16" x14ac:dyDescent="0.45">
      <c r="A122" s="3" t="s">
        <v>151</v>
      </c>
      <c r="B122" s="4">
        <v>45761</v>
      </c>
      <c r="C122" s="3" t="s">
        <v>28</v>
      </c>
      <c r="D122" s="3" t="s">
        <v>6</v>
      </c>
      <c r="E122" s="5">
        <v>116</v>
      </c>
      <c r="F122" s="6">
        <v>25000</v>
      </c>
      <c r="G122" s="6">
        <v>38000</v>
      </c>
      <c r="H122" s="6">
        <f t="shared" si="12"/>
        <v>2900000</v>
      </c>
      <c r="I122" s="6">
        <f t="shared" si="13"/>
        <v>4408000</v>
      </c>
      <c r="J122" s="6">
        <f t="shared" si="14"/>
        <v>1508000</v>
      </c>
      <c r="K122" s="7">
        <f t="shared" si="15"/>
        <v>0.34210526315789475</v>
      </c>
    </row>
    <row r="123" spans="1:11" ht="16" x14ac:dyDescent="0.45">
      <c r="A123" s="1" t="s">
        <v>152</v>
      </c>
      <c r="B123" s="8">
        <v>45764</v>
      </c>
      <c r="C123" s="1" t="s">
        <v>26</v>
      </c>
      <c r="D123" s="1" t="s">
        <v>5</v>
      </c>
      <c r="E123" s="9">
        <v>59</v>
      </c>
      <c r="F123" s="10">
        <v>120</v>
      </c>
      <c r="G123" s="10">
        <v>190</v>
      </c>
      <c r="H123" s="10">
        <f t="shared" si="12"/>
        <v>7080</v>
      </c>
      <c r="I123" s="10">
        <f t="shared" si="13"/>
        <v>11210</v>
      </c>
      <c r="J123" s="10">
        <f t="shared" si="14"/>
        <v>4130</v>
      </c>
      <c r="K123" s="11">
        <f t="shared" si="15"/>
        <v>0.36842105263157893</v>
      </c>
    </row>
    <row r="124" spans="1:11" ht="16" x14ac:dyDescent="0.45">
      <c r="A124" s="3" t="s">
        <v>153</v>
      </c>
      <c r="B124" s="4">
        <v>45765</v>
      </c>
      <c r="C124" s="3" t="s">
        <v>43</v>
      </c>
      <c r="D124" s="3" t="s">
        <v>3</v>
      </c>
      <c r="E124" s="5">
        <v>10</v>
      </c>
      <c r="F124" s="6">
        <v>3500</v>
      </c>
      <c r="G124" s="6">
        <v>5200</v>
      </c>
      <c r="H124" s="6">
        <f t="shared" si="12"/>
        <v>35000</v>
      </c>
      <c r="I124" s="6">
        <f t="shared" si="13"/>
        <v>52000</v>
      </c>
      <c r="J124" s="6">
        <f t="shared" si="14"/>
        <v>17000</v>
      </c>
      <c r="K124" s="7">
        <f t="shared" si="15"/>
        <v>0.32692307692307693</v>
      </c>
    </row>
    <row r="125" spans="1:11" ht="16" x14ac:dyDescent="0.45">
      <c r="A125" s="1" t="s">
        <v>154</v>
      </c>
      <c r="B125" s="8">
        <v>45766</v>
      </c>
      <c r="C125" s="1" t="s">
        <v>36</v>
      </c>
      <c r="D125" s="1" t="s">
        <v>3</v>
      </c>
      <c r="E125" s="9">
        <v>96</v>
      </c>
      <c r="F125" s="10">
        <v>3500</v>
      </c>
      <c r="G125" s="10">
        <v>5200</v>
      </c>
      <c r="H125" s="10">
        <f t="shared" si="12"/>
        <v>336000</v>
      </c>
      <c r="I125" s="10">
        <f t="shared" si="13"/>
        <v>499200</v>
      </c>
      <c r="J125" s="10">
        <f t="shared" si="14"/>
        <v>163200</v>
      </c>
      <c r="K125" s="11">
        <f t="shared" si="15"/>
        <v>0.32692307692307693</v>
      </c>
    </row>
    <row r="126" spans="1:11" ht="16" x14ac:dyDescent="0.45">
      <c r="A126" s="3" t="s">
        <v>155</v>
      </c>
      <c r="B126" s="4">
        <v>45767</v>
      </c>
      <c r="C126" s="3" t="s">
        <v>26</v>
      </c>
      <c r="D126" s="3" t="s">
        <v>7</v>
      </c>
      <c r="E126" s="5">
        <v>85</v>
      </c>
      <c r="F126" s="6">
        <v>4100</v>
      </c>
      <c r="G126" s="6">
        <v>6300</v>
      </c>
      <c r="H126" s="6">
        <f t="shared" si="12"/>
        <v>348500</v>
      </c>
      <c r="I126" s="6">
        <f t="shared" si="13"/>
        <v>535500</v>
      </c>
      <c r="J126" s="6">
        <f t="shared" si="14"/>
        <v>187000</v>
      </c>
      <c r="K126" s="7">
        <f t="shared" si="15"/>
        <v>0.34920634920634919</v>
      </c>
    </row>
    <row r="127" spans="1:11" ht="16" x14ac:dyDescent="0.45">
      <c r="A127" s="1" t="s">
        <v>156</v>
      </c>
      <c r="B127" s="8">
        <v>45767</v>
      </c>
      <c r="C127" s="1" t="s">
        <v>26</v>
      </c>
      <c r="D127" s="1" t="s">
        <v>8</v>
      </c>
      <c r="E127" s="9">
        <v>73</v>
      </c>
      <c r="F127" s="10">
        <v>9500</v>
      </c>
      <c r="G127" s="10">
        <v>14200</v>
      </c>
      <c r="H127" s="10">
        <f t="shared" si="12"/>
        <v>693500</v>
      </c>
      <c r="I127" s="10">
        <f t="shared" si="13"/>
        <v>1036600</v>
      </c>
      <c r="J127" s="10">
        <f t="shared" si="14"/>
        <v>343100</v>
      </c>
      <c r="K127" s="11">
        <f t="shared" si="15"/>
        <v>0.33098591549295775</v>
      </c>
    </row>
    <row r="128" spans="1:11" ht="16" x14ac:dyDescent="0.45">
      <c r="A128" s="3" t="s">
        <v>157</v>
      </c>
      <c r="B128" s="4">
        <v>45772</v>
      </c>
      <c r="C128" s="3" t="s">
        <v>48</v>
      </c>
      <c r="D128" s="3" t="s">
        <v>5</v>
      </c>
      <c r="E128" s="5">
        <v>99</v>
      </c>
      <c r="F128" s="6">
        <v>120</v>
      </c>
      <c r="G128" s="6">
        <v>190</v>
      </c>
      <c r="H128" s="6">
        <f t="shared" si="12"/>
        <v>11880</v>
      </c>
      <c r="I128" s="6">
        <f t="shared" si="13"/>
        <v>18810</v>
      </c>
      <c r="J128" s="6">
        <f t="shared" si="14"/>
        <v>6930</v>
      </c>
      <c r="K128" s="7">
        <f t="shared" si="15"/>
        <v>0.36842105263157893</v>
      </c>
    </row>
    <row r="129" spans="1:11" ht="16" x14ac:dyDescent="0.45">
      <c r="A129" s="1" t="s">
        <v>158</v>
      </c>
      <c r="B129" s="8">
        <v>45777</v>
      </c>
      <c r="C129" s="1" t="s">
        <v>24</v>
      </c>
      <c r="D129" s="1" t="s">
        <v>11</v>
      </c>
      <c r="E129" s="9">
        <v>9</v>
      </c>
      <c r="F129" s="10">
        <v>18500</v>
      </c>
      <c r="G129" s="10">
        <v>27000</v>
      </c>
      <c r="H129" s="10">
        <f t="shared" si="12"/>
        <v>166500</v>
      </c>
      <c r="I129" s="10">
        <f t="shared" si="13"/>
        <v>243000</v>
      </c>
      <c r="J129" s="10">
        <f t="shared" si="14"/>
        <v>76500</v>
      </c>
      <c r="K129" s="11">
        <f t="shared" si="15"/>
        <v>0.31481481481481483</v>
      </c>
    </row>
    <row r="130" spans="1:11" ht="16" x14ac:dyDescent="0.45">
      <c r="A130" s="3" t="s">
        <v>159</v>
      </c>
      <c r="B130" s="4">
        <v>45777</v>
      </c>
      <c r="C130" s="3" t="s">
        <v>48</v>
      </c>
      <c r="D130" s="3" t="s">
        <v>7</v>
      </c>
      <c r="E130" s="5">
        <v>106</v>
      </c>
      <c r="F130" s="6">
        <v>4100</v>
      </c>
      <c r="G130" s="6">
        <v>6300</v>
      </c>
      <c r="H130" s="6">
        <f t="shared" ref="H130:H161" si="16">E130*F130</f>
        <v>434600</v>
      </c>
      <c r="I130" s="6">
        <f t="shared" ref="I130:I161" si="17">E130*G130</f>
        <v>667800</v>
      </c>
      <c r="J130" s="6">
        <f t="shared" ref="J130:J161" si="18">I130-H130</f>
        <v>233200</v>
      </c>
      <c r="K130" s="7">
        <f t="shared" ref="K130:K161" si="19">IF(I130&gt;0, J130/I130, 0)</f>
        <v>0.34920634920634919</v>
      </c>
    </row>
    <row r="131" spans="1:11" ht="16" x14ac:dyDescent="0.45">
      <c r="A131" s="1" t="s">
        <v>160</v>
      </c>
      <c r="B131" s="8">
        <v>45778</v>
      </c>
      <c r="C131" s="1" t="s">
        <v>36</v>
      </c>
      <c r="D131" s="1" t="s">
        <v>10</v>
      </c>
      <c r="E131" s="9">
        <v>7</v>
      </c>
      <c r="F131" s="10">
        <v>5400</v>
      </c>
      <c r="G131" s="10">
        <v>8100</v>
      </c>
      <c r="H131" s="10">
        <f t="shared" si="16"/>
        <v>37800</v>
      </c>
      <c r="I131" s="10">
        <f t="shared" si="17"/>
        <v>56700</v>
      </c>
      <c r="J131" s="10">
        <f t="shared" si="18"/>
        <v>18900</v>
      </c>
      <c r="K131" s="11">
        <f t="shared" si="19"/>
        <v>0.33333333333333331</v>
      </c>
    </row>
    <row r="132" spans="1:11" ht="16" x14ac:dyDescent="0.45">
      <c r="A132" s="3" t="s">
        <v>161</v>
      </c>
      <c r="B132" s="4">
        <v>45780</v>
      </c>
      <c r="C132" s="3" t="s">
        <v>36</v>
      </c>
      <c r="D132" s="3" t="s">
        <v>3</v>
      </c>
      <c r="E132" s="5">
        <v>57</v>
      </c>
      <c r="F132" s="6">
        <v>3500</v>
      </c>
      <c r="G132" s="6">
        <v>5200</v>
      </c>
      <c r="H132" s="6">
        <f t="shared" si="16"/>
        <v>199500</v>
      </c>
      <c r="I132" s="6">
        <f t="shared" si="17"/>
        <v>296400</v>
      </c>
      <c r="J132" s="6">
        <f t="shared" si="18"/>
        <v>96900</v>
      </c>
      <c r="K132" s="7">
        <f t="shared" si="19"/>
        <v>0.32692307692307693</v>
      </c>
    </row>
    <row r="133" spans="1:11" ht="16" x14ac:dyDescent="0.45">
      <c r="A133" s="1" t="s">
        <v>162</v>
      </c>
      <c r="B133" s="8">
        <v>45781</v>
      </c>
      <c r="C133" s="1" t="s">
        <v>22</v>
      </c>
      <c r="D133" s="1" t="s">
        <v>7</v>
      </c>
      <c r="E133" s="9">
        <v>27</v>
      </c>
      <c r="F133" s="10">
        <v>4100</v>
      </c>
      <c r="G133" s="10">
        <v>6300</v>
      </c>
      <c r="H133" s="10">
        <f t="shared" si="16"/>
        <v>110700</v>
      </c>
      <c r="I133" s="10">
        <f t="shared" si="17"/>
        <v>170100</v>
      </c>
      <c r="J133" s="10">
        <f t="shared" si="18"/>
        <v>59400</v>
      </c>
      <c r="K133" s="11">
        <f t="shared" si="19"/>
        <v>0.34920634920634919</v>
      </c>
    </row>
    <row r="134" spans="1:11" ht="16" x14ac:dyDescent="0.45">
      <c r="A134" s="3" t="s">
        <v>163</v>
      </c>
      <c r="B134" s="4">
        <v>45782</v>
      </c>
      <c r="C134" s="3" t="s">
        <v>48</v>
      </c>
      <c r="D134" s="3" t="s">
        <v>5</v>
      </c>
      <c r="E134" s="5">
        <v>105</v>
      </c>
      <c r="F134" s="6">
        <v>120</v>
      </c>
      <c r="G134" s="6">
        <v>190</v>
      </c>
      <c r="H134" s="6">
        <f t="shared" si="16"/>
        <v>12600</v>
      </c>
      <c r="I134" s="6">
        <f t="shared" si="17"/>
        <v>19950</v>
      </c>
      <c r="J134" s="6">
        <f t="shared" si="18"/>
        <v>7350</v>
      </c>
      <c r="K134" s="7">
        <f t="shared" si="19"/>
        <v>0.36842105263157893</v>
      </c>
    </row>
    <row r="135" spans="1:11" ht="16" x14ac:dyDescent="0.45">
      <c r="A135" s="1" t="s">
        <v>164</v>
      </c>
      <c r="B135" s="8">
        <v>45790</v>
      </c>
      <c r="C135" s="1" t="s">
        <v>56</v>
      </c>
      <c r="D135" s="1" t="s">
        <v>3</v>
      </c>
      <c r="E135" s="9">
        <v>57</v>
      </c>
      <c r="F135" s="10">
        <v>3500</v>
      </c>
      <c r="G135" s="10">
        <v>5200</v>
      </c>
      <c r="H135" s="10">
        <f t="shared" si="16"/>
        <v>199500</v>
      </c>
      <c r="I135" s="10">
        <f t="shared" si="17"/>
        <v>296400</v>
      </c>
      <c r="J135" s="10">
        <f t="shared" si="18"/>
        <v>96900</v>
      </c>
      <c r="K135" s="11">
        <f t="shared" si="19"/>
        <v>0.32692307692307693</v>
      </c>
    </row>
    <row r="136" spans="1:11" ht="16" x14ac:dyDescent="0.45">
      <c r="A136" s="3" t="s">
        <v>165</v>
      </c>
      <c r="B136" s="4">
        <v>45790</v>
      </c>
      <c r="C136" s="3" t="s">
        <v>24</v>
      </c>
      <c r="D136" s="3" t="s">
        <v>6</v>
      </c>
      <c r="E136" s="5">
        <v>41</v>
      </c>
      <c r="F136" s="6">
        <v>25000</v>
      </c>
      <c r="G136" s="6">
        <v>38000</v>
      </c>
      <c r="H136" s="6">
        <f t="shared" si="16"/>
        <v>1025000</v>
      </c>
      <c r="I136" s="6">
        <f t="shared" si="17"/>
        <v>1558000</v>
      </c>
      <c r="J136" s="6">
        <f t="shared" si="18"/>
        <v>533000</v>
      </c>
      <c r="K136" s="7">
        <f t="shared" si="19"/>
        <v>0.34210526315789475</v>
      </c>
    </row>
    <row r="137" spans="1:11" ht="16" x14ac:dyDescent="0.45">
      <c r="A137" s="1" t="s">
        <v>166</v>
      </c>
      <c r="B137" s="8">
        <v>45795</v>
      </c>
      <c r="C137" s="1" t="s">
        <v>36</v>
      </c>
      <c r="D137" s="1" t="s">
        <v>7</v>
      </c>
      <c r="E137" s="9">
        <v>78</v>
      </c>
      <c r="F137" s="10">
        <v>4100</v>
      </c>
      <c r="G137" s="10">
        <v>6300</v>
      </c>
      <c r="H137" s="10">
        <f t="shared" si="16"/>
        <v>319800</v>
      </c>
      <c r="I137" s="10">
        <f t="shared" si="17"/>
        <v>491400</v>
      </c>
      <c r="J137" s="10">
        <f t="shared" si="18"/>
        <v>171600</v>
      </c>
      <c r="K137" s="11">
        <f t="shared" si="19"/>
        <v>0.34920634920634919</v>
      </c>
    </row>
    <row r="138" spans="1:11" ht="16" x14ac:dyDescent="0.45">
      <c r="A138" s="3" t="s">
        <v>167</v>
      </c>
      <c r="B138" s="4">
        <v>45797</v>
      </c>
      <c r="C138" s="3" t="s">
        <v>22</v>
      </c>
      <c r="D138" s="3" t="s">
        <v>9</v>
      </c>
      <c r="E138" s="5">
        <v>78</v>
      </c>
      <c r="F138" s="6">
        <v>6800</v>
      </c>
      <c r="G138" s="6">
        <v>10500</v>
      </c>
      <c r="H138" s="6">
        <f t="shared" si="16"/>
        <v>530400</v>
      </c>
      <c r="I138" s="6">
        <f t="shared" si="17"/>
        <v>819000</v>
      </c>
      <c r="J138" s="6">
        <f t="shared" si="18"/>
        <v>288600</v>
      </c>
      <c r="K138" s="7">
        <f t="shared" si="19"/>
        <v>0.35238095238095241</v>
      </c>
    </row>
    <row r="139" spans="1:11" ht="16" x14ac:dyDescent="0.45">
      <c r="A139" s="1" t="s">
        <v>168</v>
      </c>
      <c r="B139" s="8">
        <v>45798</v>
      </c>
      <c r="C139" s="1" t="s">
        <v>48</v>
      </c>
      <c r="D139" s="1" t="s">
        <v>3</v>
      </c>
      <c r="E139" s="9">
        <v>87</v>
      </c>
      <c r="F139" s="10">
        <v>3500</v>
      </c>
      <c r="G139" s="10">
        <v>5200</v>
      </c>
      <c r="H139" s="10">
        <f t="shared" si="16"/>
        <v>304500</v>
      </c>
      <c r="I139" s="10">
        <f t="shared" si="17"/>
        <v>452400</v>
      </c>
      <c r="J139" s="10">
        <f t="shared" si="18"/>
        <v>147900</v>
      </c>
      <c r="K139" s="11">
        <f t="shared" si="19"/>
        <v>0.32692307692307693</v>
      </c>
    </row>
    <row r="140" spans="1:11" ht="16" x14ac:dyDescent="0.45">
      <c r="A140" s="3" t="s">
        <v>169</v>
      </c>
      <c r="B140" s="4">
        <v>45802</v>
      </c>
      <c r="C140" s="3" t="s">
        <v>24</v>
      </c>
      <c r="D140" s="3" t="s">
        <v>5</v>
      </c>
      <c r="E140" s="5">
        <v>21</v>
      </c>
      <c r="F140" s="6">
        <v>120</v>
      </c>
      <c r="G140" s="6">
        <v>190</v>
      </c>
      <c r="H140" s="6">
        <f t="shared" si="16"/>
        <v>2520</v>
      </c>
      <c r="I140" s="6">
        <f t="shared" si="17"/>
        <v>3990</v>
      </c>
      <c r="J140" s="6">
        <f t="shared" si="18"/>
        <v>1470</v>
      </c>
      <c r="K140" s="7">
        <f t="shared" si="19"/>
        <v>0.36842105263157893</v>
      </c>
    </row>
    <row r="141" spans="1:11" ht="16" x14ac:dyDescent="0.45">
      <c r="A141" s="1" t="s">
        <v>170</v>
      </c>
      <c r="B141" s="8">
        <v>45804</v>
      </c>
      <c r="C141" s="1" t="s">
        <v>48</v>
      </c>
      <c r="D141" s="1" t="s">
        <v>4</v>
      </c>
      <c r="E141" s="9">
        <v>89</v>
      </c>
      <c r="F141" s="10">
        <v>8200</v>
      </c>
      <c r="G141" s="10">
        <v>11800</v>
      </c>
      <c r="H141" s="10">
        <f t="shared" si="16"/>
        <v>729800</v>
      </c>
      <c r="I141" s="10">
        <f t="shared" si="17"/>
        <v>1050200</v>
      </c>
      <c r="J141" s="10">
        <f t="shared" si="18"/>
        <v>320400</v>
      </c>
      <c r="K141" s="11">
        <f t="shared" si="19"/>
        <v>0.30508474576271188</v>
      </c>
    </row>
    <row r="142" spans="1:11" ht="16" x14ac:dyDescent="0.45">
      <c r="A142" s="3" t="s">
        <v>171</v>
      </c>
      <c r="B142" s="4">
        <v>45808</v>
      </c>
      <c r="C142" s="3" t="s">
        <v>26</v>
      </c>
      <c r="D142" s="3" t="s">
        <v>11</v>
      </c>
      <c r="E142" s="5">
        <v>82</v>
      </c>
      <c r="F142" s="6">
        <v>18500</v>
      </c>
      <c r="G142" s="6">
        <v>27000</v>
      </c>
      <c r="H142" s="6">
        <f t="shared" si="16"/>
        <v>1517000</v>
      </c>
      <c r="I142" s="6">
        <f t="shared" si="17"/>
        <v>2214000</v>
      </c>
      <c r="J142" s="6">
        <f t="shared" si="18"/>
        <v>697000</v>
      </c>
      <c r="K142" s="7">
        <f t="shared" si="19"/>
        <v>0.31481481481481483</v>
      </c>
    </row>
    <row r="143" spans="1:11" ht="16" x14ac:dyDescent="0.45">
      <c r="A143" s="1" t="s">
        <v>172</v>
      </c>
      <c r="B143" s="8">
        <v>45808</v>
      </c>
      <c r="C143" s="1" t="s">
        <v>22</v>
      </c>
      <c r="D143" s="1" t="s">
        <v>12</v>
      </c>
      <c r="E143" s="9">
        <v>77</v>
      </c>
      <c r="F143" s="10">
        <v>7200</v>
      </c>
      <c r="G143" s="10">
        <v>10800</v>
      </c>
      <c r="H143" s="10">
        <f t="shared" si="16"/>
        <v>554400</v>
      </c>
      <c r="I143" s="10">
        <f t="shared" si="17"/>
        <v>831600</v>
      </c>
      <c r="J143" s="10">
        <f t="shared" si="18"/>
        <v>277200</v>
      </c>
      <c r="K143" s="11">
        <f t="shared" si="19"/>
        <v>0.33333333333333331</v>
      </c>
    </row>
    <row r="144" spans="1:11" ht="16" x14ac:dyDescent="0.45">
      <c r="A144" s="3" t="s">
        <v>173</v>
      </c>
      <c r="B144" s="4">
        <v>45810</v>
      </c>
      <c r="C144" s="3" t="s">
        <v>24</v>
      </c>
      <c r="D144" s="3" t="s">
        <v>8</v>
      </c>
      <c r="E144" s="5">
        <v>114</v>
      </c>
      <c r="F144" s="6">
        <v>9500</v>
      </c>
      <c r="G144" s="6">
        <v>14200</v>
      </c>
      <c r="H144" s="6">
        <f t="shared" si="16"/>
        <v>1083000</v>
      </c>
      <c r="I144" s="6">
        <f t="shared" si="17"/>
        <v>1618800</v>
      </c>
      <c r="J144" s="6">
        <f t="shared" si="18"/>
        <v>535800</v>
      </c>
      <c r="K144" s="7">
        <f t="shared" si="19"/>
        <v>0.33098591549295775</v>
      </c>
    </row>
    <row r="145" spans="1:11" ht="16" x14ac:dyDescent="0.45">
      <c r="A145" s="1" t="s">
        <v>174</v>
      </c>
      <c r="B145" s="8">
        <v>45811</v>
      </c>
      <c r="C145" s="1" t="s">
        <v>33</v>
      </c>
      <c r="D145" s="1" t="s">
        <v>12</v>
      </c>
      <c r="E145" s="9">
        <v>5</v>
      </c>
      <c r="F145" s="10">
        <v>7200</v>
      </c>
      <c r="G145" s="10">
        <v>10800</v>
      </c>
      <c r="H145" s="10">
        <f t="shared" si="16"/>
        <v>36000</v>
      </c>
      <c r="I145" s="10">
        <f t="shared" si="17"/>
        <v>54000</v>
      </c>
      <c r="J145" s="10">
        <f t="shared" si="18"/>
        <v>18000</v>
      </c>
      <c r="K145" s="11">
        <f t="shared" si="19"/>
        <v>0.33333333333333331</v>
      </c>
    </row>
    <row r="146" spans="1:11" ht="16" x14ac:dyDescent="0.45">
      <c r="A146" s="3" t="s">
        <v>175</v>
      </c>
      <c r="B146" s="4">
        <v>45814</v>
      </c>
      <c r="C146" s="3" t="s">
        <v>43</v>
      </c>
      <c r="D146" s="3" t="s">
        <v>5</v>
      </c>
      <c r="E146" s="5">
        <v>55</v>
      </c>
      <c r="F146" s="6">
        <v>120</v>
      </c>
      <c r="G146" s="6">
        <v>190</v>
      </c>
      <c r="H146" s="6">
        <f t="shared" si="16"/>
        <v>6600</v>
      </c>
      <c r="I146" s="6">
        <f t="shared" si="17"/>
        <v>10450</v>
      </c>
      <c r="J146" s="6">
        <f t="shared" si="18"/>
        <v>3850</v>
      </c>
      <c r="K146" s="7">
        <f t="shared" si="19"/>
        <v>0.36842105263157893</v>
      </c>
    </row>
    <row r="147" spans="1:11" ht="16" x14ac:dyDescent="0.45">
      <c r="A147" s="1" t="s">
        <v>176</v>
      </c>
      <c r="B147" s="8">
        <v>45815</v>
      </c>
      <c r="C147" s="1" t="s">
        <v>43</v>
      </c>
      <c r="D147" s="1" t="s">
        <v>10</v>
      </c>
      <c r="E147" s="9">
        <v>49</v>
      </c>
      <c r="F147" s="10">
        <v>5400</v>
      </c>
      <c r="G147" s="10">
        <v>8100</v>
      </c>
      <c r="H147" s="10">
        <f t="shared" si="16"/>
        <v>264600</v>
      </c>
      <c r="I147" s="10">
        <f t="shared" si="17"/>
        <v>396900</v>
      </c>
      <c r="J147" s="10">
        <f t="shared" si="18"/>
        <v>132300</v>
      </c>
      <c r="K147" s="11">
        <f t="shared" si="19"/>
        <v>0.33333333333333331</v>
      </c>
    </row>
    <row r="148" spans="1:11" ht="16" x14ac:dyDescent="0.45">
      <c r="A148" s="3" t="s">
        <v>177</v>
      </c>
      <c r="B148" s="4">
        <v>45816</v>
      </c>
      <c r="C148" s="3" t="s">
        <v>24</v>
      </c>
      <c r="D148" s="3" t="s">
        <v>10</v>
      </c>
      <c r="E148" s="5">
        <v>81</v>
      </c>
      <c r="F148" s="6">
        <v>5400</v>
      </c>
      <c r="G148" s="6">
        <v>8100</v>
      </c>
      <c r="H148" s="6">
        <f t="shared" si="16"/>
        <v>437400</v>
      </c>
      <c r="I148" s="6">
        <f t="shared" si="17"/>
        <v>656100</v>
      </c>
      <c r="J148" s="6">
        <f t="shared" si="18"/>
        <v>218700</v>
      </c>
      <c r="K148" s="7">
        <f t="shared" si="19"/>
        <v>0.33333333333333331</v>
      </c>
    </row>
    <row r="149" spans="1:11" ht="16" x14ac:dyDescent="0.45">
      <c r="A149" s="1" t="s">
        <v>178</v>
      </c>
      <c r="B149" s="8">
        <v>45826</v>
      </c>
      <c r="C149" s="1" t="s">
        <v>48</v>
      </c>
      <c r="D149" s="1" t="s">
        <v>4</v>
      </c>
      <c r="E149" s="9">
        <v>8</v>
      </c>
      <c r="F149" s="10">
        <v>8200</v>
      </c>
      <c r="G149" s="10">
        <v>11800</v>
      </c>
      <c r="H149" s="10">
        <f t="shared" si="16"/>
        <v>65600</v>
      </c>
      <c r="I149" s="10">
        <f t="shared" si="17"/>
        <v>94400</v>
      </c>
      <c r="J149" s="10">
        <f t="shared" si="18"/>
        <v>28800</v>
      </c>
      <c r="K149" s="11">
        <f t="shared" si="19"/>
        <v>0.30508474576271188</v>
      </c>
    </row>
    <row r="150" spans="1:11" ht="16" x14ac:dyDescent="0.45">
      <c r="A150" s="3" t="s">
        <v>179</v>
      </c>
      <c r="B150" s="4">
        <v>45830</v>
      </c>
      <c r="C150" s="3" t="s">
        <v>22</v>
      </c>
      <c r="D150" s="3" t="s">
        <v>8</v>
      </c>
      <c r="E150" s="5">
        <v>66</v>
      </c>
      <c r="F150" s="6">
        <v>9500</v>
      </c>
      <c r="G150" s="6">
        <v>14200</v>
      </c>
      <c r="H150" s="6">
        <f t="shared" si="16"/>
        <v>627000</v>
      </c>
      <c r="I150" s="6">
        <f t="shared" si="17"/>
        <v>937200</v>
      </c>
      <c r="J150" s="6">
        <f t="shared" si="18"/>
        <v>310200</v>
      </c>
      <c r="K150" s="7">
        <f t="shared" si="19"/>
        <v>0.33098591549295775</v>
      </c>
    </row>
    <row r="151" spans="1:11" ht="16" x14ac:dyDescent="0.45">
      <c r="A151" s="1" t="s">
        <v>180</v>
      </c>
      <c r="B151" s="8">
        <v>45846</v>
      </c>
      <c r="C151" s="1" t="s">
        <v>43</v>
      </c>
      <c r="D151" s="1" t="s">
        <v>9</v>
      </c>
      <c r="E151" s="9">
        <v>69</v>
      </c>
      <c r="F151" s="10">
        <v>6800</v>
      </c>
      <c r="G151" s="10">
        <v>10500</v>
      </c>
      <c r="H151" s="10">
        <f t="shared" si="16"/>
        <v>469200</v>
      </c>
      <c r="I151" s="10">
        <f t="shared" si="17"/>
        <v>724500</v>
      </c>
      <c r="J151" s="10">
        <f t="shared" si="18"/>
        <v>255300</v>
      </c>
      <c r="K151" s="11">
        <f t="shared" si="19"/>
        <v>0.35238095238095241</v>
      </c>
    </row>
    <row r="152" spans="1:11" ht="16" x14ac:dyDescent="0.45">
      <c r="A152" s="3" t="s">
        <v>181</v>
      </c>
      <c r="B152" s="4">
        <v>45852</v>
      </c>
      <c r="C152" s="3" t="s">
        <v>22</v>
      </c>
      <c r="D152" s="3" t="s">
        <v>4</v>
      </c>
      <c r="E152" s="5">
        <v>117</v>
      </c>
      <c r="F152" s="6">
        <v>8200</v>
      </c>
      <c r="G152" s="6">
        <v>11800</v>
      </c>
      <c r="H152" s="6">
        <f t="shared" si="16"/>
        <v>959400</v>
      </c>
      <c r="I152" s="6">
        <f t="shared" si="17"/>
        <v>1380600</v>
      </c>
      <c r="J152" s="6">
        <f t="shared" si="18"/>
        <v>421200</v>
      </c>
      <c r="K152" s="7">
        <f t="shared" si="19"/>
        <v>0.30508474576271188</v>
      </c>
    </row>
    <row r="153" spans="1:11" ht="16" x14ac:dyDescent="0.45">
      <c r="A153" s="1" t="s">
        <v>182</v>
      </c>
      <c r="B153" s="8">
        <v>45859</v>
      </c>
      <c r="C153" s="1" t="s">
        <v>43</v>
      </c>
      <c r="D153" s="1" t="s">
        <v>12</v>
      </c>
      <c r="E153" s="9">
        <v>108</v>
      </c>
      <c r="F153" s="10">
        <v>7200</v>
      </c>
      <c r="G153" s="10">
        <v>10800</v>
      </c>
      <c r="H153" s="10">
        <f t="shared" si="16"/>
        <v>777600</v>
      </c>
      <c r="I153" s="10">
        <f t="shared" si="17"/>
        <v>1166400</v>
      </c>
      <c r="J153" s="10">
        <f t="shared" si="18"/>
        <v>388800</v>
      </c>
      <c r="K153" s="11">
        <f t="shared" si="19"/>
        <v>0.33333333333333331</v>
      </c>
    </row>
    <row r="154" spans="1:11" ht="16" x14ac:dyDescent="0.45">
      <c r="A154" s="3" t="s">
        <v>183</v>
      </c>
      <c r="B154" s="4">
        <v>45861</v>
      </c>
      <c r="C154" s="3" t="s">
        <v>26</v>
      </c>
      <c r="D154" s="3" t="s">
        <v>4</v>
      </c>
      <c r="E154" s="5">
        <v>36</v>
      </c>
      <c r="F154" s="6">
        <v>8200</v>
      </c>
      <c r="G154" s="6">
        <v>11800</v>
      </c>
      <c r="H154" s="6">
        <f t="shared" si="16"/>
        <v>295200</v>
      </c>
      <c r="I154" s="6">
        <f t="shared" si="17"/>
        <v>424800</v>
      </c>
      <c r="J154" s="6">
        <f t="shared" si="18"/>
        <v>129600</v>
      </c>
      <c r="K154" s="7">
        <f t="shared" si="19"/>
        <v>0.30508474576271188</v>
      </c>
    </row>
    <row r="155" spans="1:11" ht="16" x14ac:dyDescent="0.45">
      <c r="A155" s="1" t="s">
        <v>184</v>
      </c>
      <c r="B155" s="8">
        <v>45861</v>
      </c>
      <c r="C155" s="1" t="s">
        <v>48</v>
      </c>
      <c r="D155" s="1" t="s">
        <v>12</v>
      </c>
      <c r="E155" s="9">
        <v>38</v>
      </c>
      <c r="F155" s="10">
        <v>7200</v>
      </c>
      <c r="G155" s="10">
        <v>10800</v>
      </c>
      <c r="H155" s="10">
        <f t="shared" si="16"/>
        <v>273600</v>
      </c>
      <c r="I155" s="10">
        <f t="shared" si="17"/>
        <v>410400</v>
      </c>
      <c r="J155" s="10">
        <f t="shared" si="18"/>
        <v>136800</v>
      </c>
      <c r="K155" s="11">
        <f t="shared" si="19"/>
        <v>0.33333333333333331</v>
      </c>
    </row>
    <row r="156" spans="1:11" ht="16" x14ac:dyDescent="0.45">
      <c r="A156" s="3" t="s">
        <v>185</v>
      </c>
      <c r="B156" s="4">
        <v>45862</v>
      </c>
      <c r="C156" s="3" t="s">
        <v>26</v>
      </c>
      <c r="D156" s="3" t="s">
        <v>3</v>
      </c>
      <c r="E156" s="5">
        <v>96</v>
      </c>
      <c r="F156" s="6">
        <v>3500</v>
      </c>
      <c r="G156" s="6">
        <v>5200</v>
      </c>
      <c r="H156" s="6">
        <f t="shared" si="16"/>
        <v>336000</v>
      </c>
      <c r="I156" s="6">
        <f t="shared" si="17"/>
        <v>499200</v>
      </c>
      <c r="J156" s="6">
        <f t="shared" si="18"/>
        <v>163200</v>
      </c>
      <c r="K156" s="7">
        <f t="shared" si="19"/>
        <v>0.32692307692307693</v>
      </c>
    </row>
    <row r="157" spans="1:11" ht="16" x14ac:dyDescent="0.45">
      <c r="A157" s="1" t="s">
        <v>186</v>
      </c>
      <c r="B157" s="8">
        <v>45866</v>
      </c>
      <c r="C157" s="1" t="s">
        <v>43</v>
      </c>
      <c r="D157" s="1" t="s">
        <v>10</v>
      </c>
      <c r="E157" s="9">
        <v>99</v>
      </c>
      <c r="F157" s="10">
        <v>5400</v>
      </c>
      <c r="G157" s="10">
        <v>8100</v>
      </c>
      <c r="H157" s="10">
        <f t="shared" si="16"/>
        <v>534600</v>
      </c>
      <c r="I157" s="10">
        <f t="shared" si="17"/>
        <v>801900</v>
      </c>
      <c r="J157" s="10">
        <f t="shared" si="18"/>
        <v>267300</v>
      </c>
      <c r="K157" s="11">
        <f t="shared" si="19"/>
        <v>0.33333333333333331</v>
      </c>
    </row>
    <row r="158" spans="1:11" ht="16" x14ac:dyDescent="0.45">
      <c r="A158" s="3" t="s">
        <v>187</v>
      </c>
      <c r="B158" s="4">
        <v>45867</v>
      </c>
      <c r="C158" s="3" t="s">
        <v>33</v>
      </c>
      <c r="D158" s="3" t="s">
        <v>3</v>
      </c>
      <c r="E158" s="5">
        <v>76</v>
      </c>
      <c r="F158" s="6">
        <v>3500</v>
      </c>
      <c r="G158" s="6">
        <v>5200</v>
      </c>
      <c r="H158" s="6">
        <f t="shared" si="16"/>
        <v>266000</v>
      </c>
      <c r="I158" s="6">
        <f t="shared" si="17"/>
        <v>395200</v>
      </c>
      <c r="J158" s="6">
        <f t="shared" si="18"/>
        <v>129200</v>
      </c>
      <c r="K158" s="7">
        <f t="shared" si="19"/>
        <v>0.32692307692307693</v>
      </c>
    </row>
    <row r="159" spans="1:11" ht="16" x14ac:dyDescent="0.45">
      <c r="A159" s="1" t="s">
        <v>188</v>
      </c>
      <c r="B159" s="8">
        <v>45868</v>
      </c>
      <c r="C159" s="1" t="s">
        <v>33</v>
      </c>
      <c r="D159" s="1" t="s">
        <v>11</v>
      </c>
      <c r="E159" s="9">
        <v>43</v>
      </c>
      <c r="F159" s="10">
        <v>18500</v>
      </c>
      <c r="G159" s="10">
        <v>27000</v>
      </c>
      <c r="H159" s="10">
        <f t="shared" si="16"/>
        <v>795500</v>
      </c>
      <c r="I159" s="10">
        <f t="shared" si="17"/>
        <v>1161000</v>
      </c>
      <c r="J159" s="10">
        <f t="shared" si="18"/>
        <v>365500</v>
      </c>
      <c r="K159" s="11">
        <f t="shared" si="19"/>
        <v>0.31481481481481483</v>
      </c>
    </row>
    <row r="160" spans="1:11" ht="16" x14ac:dyDescent="0.45">
      <c r="A160" s="3" t="s">
        <v>189</v>
      </c>
      <c r="B160" s="4">
        <v>45869</v>
      </c>
      <c r="C160" s="3" t="s">
        <v>26</v>
      </c>
      <c r="D160" s="3" t="s">
        <v>8</v>
      </c>
      <c r="E160" s="5">
        <v>30</v>
      </c>
      <c r="F160" s="6">
        <v>9500</v>
      </c>
      <c r="G160" s="6">
        <v>14200</v>
      </c>
      <c r="H160" s="6">
        <f t="shared" si="16"/>
        <v>285000</v>
      </c>
      <c r="I160" s="6">
        <f t="shared" si="17"/>
        <v>426000</v>
      </c>
      <c r="J160" s="6">
        <f t="shared" si="18"/>
        <v>141000</v>
      </c>
      <c r="K160" s="7">
        <f t="shared" si="19"/>
        <v>0.33098591549295775</v>
      </c>
    </row>
    <row r="161" spans="1:11" ht="16" x14ac:dyDescent="0.45">
      <c r="A161" s="1" t="s">
        <v>190</v>
      </c>
      <c r="B161" s="8">
        <v>45869</v>
      </c>
      <c r="C161" s="1" t="s">
        <v>33</v>
      </c>
      <c r="D161" s="1" t="s">
        <v>9</v>
      </c>
      <c r="E161" s="9">
        <v>38</v>
      </c>
      <c r="F161" s="10">
        <v>6800</v>
      </c>
      <c r="G161" s="10">
        <v>10500</v>
      </c>
      <c r="H161" s="10">
        <f t="shared" si="16"/>
        <v>258400</v>
      </c>
      <c r="I161" s="10">
        <f t="shared" si="17"/>
        <v>399000</v>
      </c>
      <c r="J161" s="10">
        <f t="shared" si="18"/>
        <v>140600</v>
      </c>
      <c r="K161" s="11">
        <f t="shared" si="19"/>
        <v>0.35238095238095241</v>
      </c>
    </row>
    <row r="162" spans="1:11" ht="16" x14ac:dyDescent="0.45">
      <c r="A162" s="3" t="s">
        <v>191</v>
      </c>
      <c r="B162" s="4">
        <v>45870</v>
      </c>
      <c r="C162" s="3" t="s">
        <v>43</v>
      </c>
      <c r="D162" s="3" t="s">
        <v>12</v>
      </c>
      <c r="E162" s="5">
        <v>58</v>
      </c>
      <c r="F162" s="6">
        <v>7200</v>
      </c>
      <c r="G162" s="6">
        <v>10800</v>
      </c>
      <c r="H162" s="6">
        <f t="shared" ref="H162:H193" si="20">E162*F162</f>
        <v>417600</v>
      </c>
      <c r="I162" s="6">
        <f t="shared" ref="I162:I193" si="21">E162*G162</f>
        <v>626400</v>
      </c>
      <c r="J162" s="6">
        <f t="shared" ref="J162:J193" si="22">I162-H162</f>
        <v>208800</v>
      </c>
      <c r="K162" s="7">
        <f t="shared" ref="K162:K193" si="23">IF(I162&gt;0, J162/I162, 0)</f>
        <v>0.33333333333333331</v>
      </c>
    </row>
    <row r="163" spans="1:11" ht="16" x14ac:dyDescent="0.45">
      <c r="A163" s="1" t="s">
        <v>192</v>
      </c>
      <c r="B163" s="8">
        <v>45871</v>
      </c>
      <c r="C163" s="1" t="s">
        <v>24</v>
      </c>
      <c r="D163" s="1" t="s">
        <v>9</v>
      </c>
      <c r="E163" s="9">
        <v>7</v>
      </c>
      <c r="F163" s="10">
        <v>6800</v>
      </c>
      <c r="G163" s="10">
        <v>10500</v>
      </c>
      <c r="H163" s="10">
        <f t="shared" si="20"/>
        <v>47600</v>
      </c>
      <c r="I163" s="10">
        <f t="shared" si="21"/>
        <v>73500</v>
      </c>
      <c r="J163" s="10">
        <f t="shared" si="22"/>
        <v>25900</v>
      </c>
      <c r="K163" s="11">
        <f t="shared" si="23"/>
        <v>0.35238095238095241</v>
      </c>
    </row>
    <row r="164" spans="1:11" ht="16" x14ac:dyDescent="0.45">
      <c r="A164" s="3" t="s">
        <v>193</v>
      </c>
      <c r="B164" s="4">
        <v>45872</v>
      </c>
      <c r="C164" s="3" t="s">
        <v>26</v>
      </c>
      <c r="D164" s="3" t="s">
        <v>12</v>
      </c>
      <c r="E164" s="5">
        <v>54</v>
      </c>
      <c r="F164" s="6">
        <v>7200</v>
      </c>
      <c r="G164" s="6">
        <v>10800</v>
      </c>
      <c r="H164" s="6">
        <f t="shared" si="20"/>
        <v>388800</v>
      </c>
      <c r="I164" s="6">
        <f t="shared" si="21"/>
        <v>583200</v>
      </c>
      <c r="J164" s="6">
        <f t="shared" si="22"/>
        <v>194400</v>
      </c>
      <c r="K164" s="7">
        <f t="shared" si="23"/>
        <v>0.33333333333333331</v>
      </c>
    </row>
    <row r="165" spans="1:11" ht="16" x14ac:dyDescent="0.45">
      <c r="A165" s="1" t="s">
        <v>194</v>
      </c>
      <c r="B165" s="8">
        <v>45879</v>
      </c>
      <c r="C165" s="1" t="s">
        <v>31</v>
      </c>
      <c r="D165" s="1" t="s">
        <v>5</v>
      </c>
      <c r="E165" s="9">
        <v>16</v>
      </c>
      <c r="F165" s="10">
        <v>120</v>
      </c>
      <c r="G165" s="10">
        <v>190</v>
      </c>
      <c r="H165" s="10">
        <f t="shared" si="20"/>
        <v>1920</v>
      </c>
      <c r="I165" s="10">
        <f t="shared" si="21"/>
        <v>3040</v>
      </c>
      <c r="J165" s="10">
        <f t="shared" si="22"/>
        <v>1120</v>
      </c>
      <c r="K165" s="11">
        <f t="shared" si="23"/>
        <v>0.36842105263157893</v>
      </c>
    </row>
    <row r="166" spans="1:11" ht="16" x14ac:dyDescent="0.45">
      <c r="A166" s="3" t="s">
        <v>195</v>
      </c>
      <c r="B166" s="4">
        <v>45879</v>
      </c>
      <c r="C166" s="3" t="s">
        <v>48</v>
      </c>
      <c r="D166" s="3" t="s">
        <v>4</v>
      </c>
      <c r="E166" s="5">
        <v>69</v>
      </c>
      <c r="F166" s="6">
        <v>8200</v>
      </c>
      <c r="G166" s="6">
        <v>11800</v>
      </c>
      <c r="H166" s="6">
        <f t="shared" si="20"/>
        <v>565800</v>
      </c>
      <c r="I166" s="6">
        <f t="shared" si="21"/>
        <v>814200</v>
      </c>
      <c r="J166" s="6">
        <f t="shared" si="22"/>
        <v>248400</v>
      </c>
      <c r="K166" s="7">
        <f t="shared" si="23"/>
        <v>0.30508474576271188</v>
      </c>
    </row>
    <row r="167" spans="1:11" ht="16" x14ac:dyDescent="0.45">
      <c r="A167" s="1" t="s">
        <v>196</v>
      </c>
      <c r="B167" s="8">
        <v>45880</v>
      </c>
      <c r="C167" s="1" t="s">
        <v>33</v>
      </c>
      <c r="D167" s="1" t="s">
        <v>11</v>
      </c>
      <c r="E167" s="9">
        <v>58</v>
      </c>
      <c r="F167" s="10">
        <v>18500</v>
      </c>
      <c r="G167" s="10">
        <v>27000</v>
      </c>
      <c r="H167" s="10">
        <f t="shared" si="20"/>
        <v>1073000</v>
      </c>
      <c r="I167" s="10">
        <f t="shared" si="21"/>
        <v>1566000</v>
      </c>
      <c r="J167" s="10">
        <f t="shared" si="22"/>
        <v>493000</v>
      </c>
      <c r="K167" s="11">
        <f t="shared" si="23"/>
        <v>0.31481481481481483</v>
      </c>
    </row>
    <row r="168" spans="1:11" ht="16" x14ac:dyDescent="0.45">
      <c r="A168" s="3" t="s">
        <v>197</v>
      </c>
      <c r="B168" s="4">
        <v>45883</v>
      </c>
      <c r="C168" s="3" t="s">
        <v>33</v>
      </c>
      <c r="D168" s="3" t="s">
        <v>10</v>
      </c>
      <c r="E168" s="5">
        <v>112</v>
      </c>
      <c r="F168" s="6">
        <v>5400</v>
      </c>
      <c r="G168" s="6">
        <v>8100</v>
      </c>
      <c r="H168" s="6">
        <f t="shared" si="20"/>
        <v>604800</v>
      </c>
      <c r="I168" s="6">
        <f t="shared" si="21"/>
        <v>907200</v>
      </c>
      <c r="J168" s="6">
        <f t="shared" si="22"/>
        <v>302400</v>
      </c>
      <c r="K168" s="7">
        <f t="shared" si="23"/>
        <v>0.33333333333333331</v>
      </c>
    </row>
    <row r="169" spans="1:11" ht="16" x14ac:dyDescent="0.45">
      <c r="A169" s="1" t="s">
        <v>198</v>
      </c>
      <c r="B169" s="8">
        <v>45898</v>
      </c>
      <c r="C169" s="1" t="s">
        <v>36</v>
      </c>
      <c r="D169" s="1" t="s">
        <v>12</v>
      </c>
      <c r="E169" s="9">
        <v>9</v>
      </c>
      <c r="F169" s="10">
        <v>7200</v>
      </c>
      <c r="G169" s="10">
        <v>10800</v>
      </c>
      <c r="H169" s="10">
        <f t="shared" si="20"/>
        <v>64800</v>
      </c>
      <c r="I169" s="10">
        <f t="shared" si="21"/>
        <v>97200</v>
      </c>
      <c r="J169" s="10">
        <f t="shared" si="22"/>
        <v>32400</v>
      </c>
      <c r="K169" s="11">
        <f t="shared" si="23"/>
        <v>0.33333333333333331</v>
      </c>
    </row>
    <row r="170" spans="1:11" ht="16" x14ac:dyDescent="0.45">
      <c r="A170" s="3" t="s">
        <v>199</v>
      </c>
      <c r="B170" s="4">
        <v>45906</v>
      </c>
      <c r="C170" s="3" t="s">
        <v>56</v>
      </c>
      <c r="D170" s="3" t="s">
        <v>9</v>
      </c>
      <c r="E170" s="5">
        <v>98</v>
      </c>
      <c r="F170" s="6">
        <v>6800</v>
      </c>
      <c r="G170" s="6">
        <v>10500</v>
      </c>
      <c r="H170" s="6">
        <f t="shared" si="20"/>
        <v>666400</v>
      </c>
      <c r="I170" s="6">
        <f t="shared" si="21"/>
        <v>1029000</v>
      </c>
      <c r="J170" s="6">
        <f t="shared" si="22"/>
        <v>362600</v>
      </c>
      <c r="K170" s="7">
        <f t="shared" si="23"/>
        <v>0.35238095238095241</v>
      </c>
    </row>
    <row r="171" spans="1:11" ht="16" x14ac:dyDescent="0.45">
      <c r="A171" s="1" t="s">
        <v>200</v>
      </c>
      <c r="B171" s="8">
        <v>45913</v>
      </c>
      <c r="C171" s="1" t="s">
        <v>26</v>
      </c>
      <c r="D171" s="1" t="s">
        <v>11</v>
      </c>
      <c r="E171" s="9">
        <v>98</v>
      </c>
      <c r="F171" s="10">
        <v>18500</v>
      </c>
      <c r="G171" s="10">
        <v>27000</v>
      </c>
      <c r="H171" s="10">
        <f t="shared" si="20"/>
        <v>1813000</v>
      </c>
      <c r="I171" s="10">
        <f t="shared" si="21"/>
        <v>2646000</v>
      </c>
      <c r="J171" s="10">
        <f t="shared" si="22"/>
        <v>833000</v>
      </c>
      <c r="K171" s="11">
        <f t="shared" si="23"/>
        <v>0.31481481481481483</v>
      </c>
    </row>
    <row r="172" spans="1:11" ht="16" x14ac:dyDescent="0.45">
      <c r="A172" s="3" t="s">
        <v>201</v>
      </c>
      <c r="B172" s="4">
        <v>45918</v>
      </c>
      <c r="C172" s="3" t="s">
        <v>28</v>
      </c>
      <c r="D172" s="3" t="s">
        <v>6</v>
      </c>
      <c r="E172" s="5">
        <v>61</v>
      </c>
      <c r="F172" s="6">
        <v>25000</v>
      </c>
      <c r="G172" s="6">
        <v>38000</v>
      </c>
      <c r="H172" s="6">
        <f t="shared" si="20"/>
        <v>1525000</v>
      </c>
      <c r="I172" s="6">
        <f t="shared" si="21"/>
        <v>2318000</v>
      </c>
      <c r="J172" s="6">
        <f t="shared" si="22"/>
        <v>793000</v>
      </c>
      <c r="K172" s="7">
        <f t="shared" si="23"/>
        <v>0.34210526315789475</v>
      </c>
    </row>
    <row r="173" spans="1:11" ht="16" x14ac:dyDescent="0.45">
      <c r="A173" s="1" t="s">
        <v>202</v>
      </c>
      <c r="B173" s="8">
        <v>45920</v>
      </c>
      <c r="C173" s="1" t="s">
        <v>33</v>
      </c>
      <c r="D173" s="1" t="s">
        <v>6</v>
      </c>
      <c r="E173" s="9">
        <v>21</v>
      </c>
      <c r="F173" s="10">
        <v>25000</v>
      </c>
      <c r="G173" s="10">
        <v>38000</v>
      </c>
      <c r="H173" s="10">
        <f t="shared" si="20"/>
        <v>525000</v>
      </c>
      <c r="I173" s="10">
        <f t="shared" si="21"/>
        <v>798000</v>
      </c>
      <c r="J173" s="10">
        <f t="shared" si="22"/>
        <v>273000</v>
      </c>
      <c r="K173" s="11">
        <f t="shared" si="23"/>
        <v>0.34210526315789475</v>
      </c>
    </row>
    <row r="174" spans="1:11" ht="16" x14ac:dyDescent="0.45">
      <c r="A174" s="3" t="s">
        <v>203</v>
      </c>
      <c r="B174" s="4">
        <v>45925</v>
      </c>
      <c r="C174" s="3" t="s">
        <v>48</v>
      </c>
      <c r="D174" s="3" t="s">
        <v>3</v>
      </c>
      <c r="E174" s="5">
        <v>116</v>
      </c>
      <c r="F174" s="6">
        <v>3500</v>
      </c>
      <c r="G174" s="6">
        <v>5200</v>
      </c>
      <c r="H174" s="6">
        <f t="shared" si="20"/>
        <v>406000</v>
      </c>
      <c r="I174" s="6">
        <f t="shared" si="21"/>
        <v>603200</v>
      </c>
      <c r="J174" s="6">
        <f t="shared" si="22"/>
        <v>197200</v>
      </c>
      <c r="K174" s="7">
        <f t="shared" si="23"/>
        <v>0.32692307692307693</v>
      </c>
    </row>
    <row r="175" spans="1:11" ht="16" x14ac:dyDescent="0.45">
      <c r="A175" s="1" t="s">
        <v>204</v>
      </c>
      <c r="B175" s="8">
        <v>45933</v>
      </c>
      <c r="C175" s="1" t="s">
        <v>31</v>
      </c>
      <c r="D175" s="1" t="s">
        <v>10</v>
      </c>
      <c r="E175" s="9">
        <v>51</v>
      </c>
      <c r="F175" s="10">
        <v>5400</v>
      </c>
      <c r="G175" s="10">
        <v>8100</v>
      </c>
      <c r="H175" s="10">
        <f t="shared" si="20"/>
        <v>275400</v>
      </c>
      <c r="I175" s="10">
        <f t="shared" si="21"/>
        <v>413100</v>
      </c>
      <c r="J175" s="10">
        <f t="shared" si="22"/>
        <v>137700</v>
      </c>
      <c r="K175" s="11">
        <f t="shared" si="23"/>
        <v>0.33333333333333331</v>
      </c>
    </row>
    <row r="176" spans="1:11" ht="16" x14ac:dyDescent="0.45">
      <c r="A176" s="3" t="s">
        <v>205</v>
      </c>
      <c r="B176" s="4">
        <v>45938</v>
      </c>
      <c r="C176" s="3" t="s">
        <v>33</v>
      </c>
      <c r="D176" s="3" t="s">
        <v>5</v>
      </c>
      <c r="E176" s="5">
        <v>27</v>
      </c>
      <c r="F176" s="6">
        <v>120</v>
      </c>
      <c r="G176" s="6">
        <v>190</v>
      </c>
      <c r="H176" s="6">
        <f t="shared" si="20"/>
        <v>3240</v>
      </c>
      <c r="I176" s="6">
        <f t="shared" si="21"/>
        <v>5130</v>
      </c>
      <c r="J176" s="6">
        <f t="shared" si="22"/>
        <v>1890</v>
      </c>
      <c r="K176" s="7">
        <f t="shared" si="23"/>
        <v>0.36842105263157893</v>
      </c>
    </row>
    <row r="177" spans="1:11" ht="16" x14ac:dyDescent="0.45">
      <c r="A177" s="1" t="s">
        <v>206</v>
      </c>
      <c r="B177" s="8">
        <v>45945</v>
      </c>
      <c r="C177" s="1" t="s">
        <v>31</v>
      </c>
      <c r="D177" s="1" t="s">
        <v>9</v>
      </c>
      <c r="E177" s="9">
        <v>83</v>
      </c>
      <c r="F177" s="10">
        <v>6800</v>
      </c>
      <c r="G177" s="10">
        <v>10500</v>
      </c>
      <c r="H177" s="10">
        <f t="shared" si="20"/>
        <v>564400</v>
      </c>
      <c r="I177" s="10">
        <f t="shared" si="21"/>
        <v>871500</v>
      </c>
      <c r="J177" s="10">
        <f t="shared" si="22"/>
        <v>307100</v>
      </c>
      <c r="K177" s="11">
        <f t="shared" si="23"/>
        <v>0.35238095238095241</v>
      </c>
    </row>
    <row r="178" spans="1:11" ht="16" x14ac:dyDescent="0.45">
      <c r="A178" s="3" t="s">
        <v>207</v>
      </c>
      <c r="B178" s="4">
        <v>45948</v>
      </c>
      <c r="C178" s="3" t="s">
        <v>43</v>
      </c>
      <c r="D178" s="3" t="s">
        <v>4</v>
      </c>
      <c r="E178" s="5">
        <v>105</v>
      </c>
      <c r="F178" s="6">
        <v>8200</v>
      </c>
      <c r="G178" s="6">
        <v>11800</v>
      </c>
      <c r="H178" s="6">
        <f t="shared" si="20"/>
        <v>861000</v>
      </c>
      <c r="I178" s="6">
        <f t="shared" si="21"/>
        <v>1239000</v>
      </c>
      <c r="J178" s="6">
        <f t="shared" si="22"/>
        <v>378000</v>
      </c>
      <c r="K178" s="7">
        <f t="shared" si="23"/>
        <v>0.30508474576271188</v>
      </c>
    </row>
    <row r="179" spans="1:11" ht="16" x14ac:dyDescent="0.45">
      <c r="A179" s="1" t="s">
        <v>208</v>
      </c>
      <c r="B179" s="8">
        <v>45951</v>
      </c>
      <c r="C179" s="1" t="s">
        <v>43</v>
      </c>
      <c r="D179" s="1" t="s">
        <v>4</v>
      </c>
      <c r="E179" s="9">
        <v>89</v>
      </c>
      <c r="F179" s="10">
        <v>8200</v>
      </c>
      <c r="G179" s="10">
        <v>11800</v>
      </c>
      <c r="H179" s="10">
        <f t="shared" si="20"/>
        <v>729800</v>
      </c>
      <c r="I179" s="10">
        <f t="shared" si="21"/>
        <v>1050200</v>
      </c>
      <c r="J179" s="10">
        <f t="shared" si="22"/>
        <v>320400</v>
      </c>
      <c r="K179" s="11">
        <f t="shared" si="23"/>
        <v>0.30508474576271188</v>
      </c>
    </row>
    <row r="180" spans="1:11" ht="16" x14ac:dyDescent="0.45">
      <c r="A180" s="3" t="s">
        <v>209</v>
      </c>
      <c r="B180" s="4">
        <v>45952</v>
      </c>
      <c r="C180" s="3" t="s">
        <v>56</v>
      </c>
      <c r="D180" s="3" t="s">
        <v>9</v>
      </c>
      <c r="E180" s="5">
        <v>18</v>
      </c>
      <c r="F180" s="6">
        <v>6800</v>
      </c>
      <c r="G180" s="6">
        <v>10500</v>
      </c>
      <c r="H180" s="6">
        <f t="shared" si="20"/>
        <v>122400</v>
      </c>
      <c r="I180" s="6">
        <f t="shared" si="21"/>
        <v>189000</v>
      </c>
      <c r="J180" s="6">
        <f t="shared" si="22"/>
        <v>66600</v>
      </c>
      <c r="K180" s="7">
        <f t="shared" si="23"/>
        <v>0.35238095238095241</v>
      </c>
    </row>
    <row r="181" spans="1:11" ht="16" x14ac:dyDescent="0.45">
      <c r="A181" s="1" t="s">
        <v>210</v>
      </c>
      <c r="B181" s="8">
        <v>45953</v>
      </c>
      <c r="C181" s="1" t="s">
        <v>24</v>
      </c>
      <c r="D181" s="1" t="s">
        <v>8</v>
      </c>
      <c r="E181" s="9">
        <v>70</v>
      </c>
      <c r="F181" s="10">
        <v>9500</v>
      </c>
      <c r="G181" s="10">
        <v>14200</v>
      </c>
      <c r="H181" s="10">
        <f t="shared" si="20"/>
        <v>665000</v>
      </c>
      <c r="I181" s="10">
        <f t="shared" si="21"/>
        <v>994000</v>
      </c>
      <c r="J181" s="10">
        <f t="shared" si="22"/>
        <v>329000</v>
      </c>
      <c r="K181" s="11">
        <f t="shared" si="23"/>
        <v>0.33098591549295775</v>
      </c>
    </row>
    <row r="182" spans="1:11" ht="16" x14ac:dyDescent="0.45">
      <c r="A182" s="3" t="s">
        <v>211</v>
      </c>
      <c r="B182" s="4">
        <v>45954</v>
      </c>
      <c r="C182" s="3" t="s">
        <v>28</v>
      </c>
      <c r="D182" s="3" t="s">
        <v>5</v>
      </c>
      <c r="E182" s="5">
        <v>79</v>
      </c>
      <c r="F182" s="6">
        <v>120</v>
      </c>
      <c r="G182" s="6">
        <v>190</v>
      </c>
      <c r="H182" s="6">
        <f t="shared" si="20"/>
        <v>9480</v>
      </c>
      <c r="I182" s="6">
        <f t="shared" si="21"/>
        <v>15010</v>
      </c>
      <c r="J182" s="6">
        <f t="shared" si="22"/>
        <v>5530</v>
      </c>
      <c r="K182" s="7">
        <f t="shared" si="23"/>
        <v>0.36842105263157893</v>
      </c>
    </row>
    <row r="183" spans="1:11" ht="16" x14ac:dyDescent="0.45">
      <c r="A183" s="1" t="s">
        <v>212</v>
      </c>
      <c r="B183" s="8">
        <v>45960</v>
      </c>
      <c r="C183" s="1" t="s">
        <v>36</v>
      </c>
      <c r="D183" s="1" t="s">
        <v>11</v>
      </c>
      <c r="E183" s="9">
        <v>55</v>
      </c>
      <c r="F183" s="10">
        <v>18500</v>
      </c>
      <c r="G183" s="10">
        <v>27000</v>
      </c>
      <c r="H183" s="10">
        <f t="shared" si="20"/>
        <v>1017500</v>
      </c>
      <c r="I183" s="10">
        <f t="shared" si="21"/>
        <v>1485000</v>
      </c>
      <c r="J183" s="10">
        <f t="shared" si="22"/>
        <v>467500</v>
      </c>
      <c r="K183" s="11">
        <f t="shared" si="23"/>
        <v>0.31481481481481483</v>
      </c>
    </row>
    <row r="184" spans="1:11" ht="16" x14ac:dyDescent="0.45">
      <c r="A184" s="3" t="s">
        <v>213</v>
      </c>
      <c r="B184" s="4">
        <v>45967</v>
      </c>
      <c r="C184" s="3" t="s">
        <v>56</v>
      </c>
      <c r="D184" s="3" t="s">
        <v>12</v>
      </c>
      <c r="E184" s="5">
        <v>107</v>
      </c>
      <c r="F184" s="6">
        <v>7200</v>
      </c>
      <c r="G184" s="6">
        <v>10800</v>
      </c>
      <c r="H184" s="6">
        <f t="shared" si="20"/>
        <v>770400</v>
      </c>
      <c r="I184" s="6">
        <f t="shared" si="21"/>
        <v>1155600</v>
      </c>
      <c r="J184" s="6">
        <f t="shared" si="22"/>
        <v>385200</v>
      </c>
      <c r="K184" s="7">
        <f t="shared" si="23"/>
        <v>0.33333333333333331</v>
      </c>
    </row>
    <row r="185" spans="1:11" ht="16" x14ac:dyDescent="0.45">
      <c r="A185" s="1" t="s">
        <v>214</v>
      </c>
      <c r="B185" s="8">
        <v>45969</v>
      </c>
      <c r="C185" s="1" t="s">
        <v>22</v>
      </c>
      <c r="D185" s="1" t="s">
        <v>8</v>
      </c>
      <c r="E185" s="9">
        <v>42</v>
      </c>
      <c r="F185" s="10">
        <v>9500</v>
      </c>
      <c r="G185" s="10">
        <v>14200</v>
      </c>
      <c r="H185" s="10">
        <f t="shared" si="20"/>
        <v>399000</v>
      </c>
      <c r="I185" s="10">
        <f t="shared" si="21"/>
        <v>596400</v>
      </c>
      <c r="J185" s="10">
        <f t="shared" si="22"/>
        <v>197400</v>
      </c>
      <c r="K185" s="11">
        <f t="shared" si="23"/>
        <v>0.33098591549295775</v>
      </c>
    </row>
    <row r="186" spans="1:11" ht="16" x14ac:dyDescent="0.45">
      <c r="A186" s="3" t="s">
        <v>215</v>
      </c>
      <c r="B186" s="4">
        <v>45969</v>
      </c>
      <c r="C186" s="3" t="s">
        <v>36</v>
      </c>
      <c r="D186" s="3" t="s">
        <v>12</v>
      </c>
      <c r="E186" s="5">
        <v>68</v>
      </c>
      <c r="F186" s="6">
        <v>7200</v>
      </c>
      <c r="G186" s="6">
        <v>10800</v>
      </c>
      <c r="H186" s="6">
        <f t="shared" si="20"/>
        <v>489600</v>
      </c>
      <c r="I186" s="6">
        <f t="shared" si="21"/>
        <v>734400</v>
      </c>
      <c r="J186" s="6">
        <f t="shared" si="22"/>
        <v>244800</v>
      </c>
      <c r="K186" s="7">
        <f t="shared" si="23"/>
        <v>0.33333333333333331</v>
      </c>
    </row>
    <row r="187" spans="1:11" ht="16" x14ac:dyDescent="0.45">
      <c r="A187" s="1" t="s">
        <v>216</v>
      </c>
      <c r="B187" s="8">
        <v>45977</v>
      </c>
      <c r="C187" s="1" t="s">
        <v>26</v>
      </c>
      <c r="D187" s="1" t="s">
        <v>12</v>
      </c>
      <c r="E187" s="9">
        <v>102</v>
      </c>
      <c r="F187" s="10">
        <v>7200</v>
      </c>
      <c r="G187" s="10">
        <v>10800</v>
      </c>
      <c r="H187" s="10">
        <f t="shared" si="20"/>
        <v>734400</v>
      </c>
      <c r="I187" s="10">
        <f t="shared" si="21"/>
        <v>1101600</v>
      </c>
      <c r="J187" s="10">
        <f t="shared" si="22"/>
        <v>367200</v>
      </c>
      <c r="K187" s="11">
        <f t="shared" si="23"/>
        <v>0.33333333333333331</v>
      </c>
    </row>
    <row r="188" spans="1:11" ht="16" x14ac:dyDescent="0.45">
      <c r="A188" s="3" t="s">
        <v>217</v>
      </c>
      <c r="B188" s="4">
        <v>45980</v>
      </c>
      <c r="C188" s="3" t="s">
        <v>48</v>
      </c>
      <c r="D188" s="3" t="s">
        <v>8</v>
      </c>
      <c r="E188" s="5">
        <v>42</v>
      </c>
      <c r="F188" s="6">
        <v>9500</v>
      </c>
      <c r="G188" s="6">
        <v>14200</v>
      </c>
      <c r="H188" s="6">
        <f t="shared" si="20"/>
        <v>399000</v>
      </c>
      <c r="I188" s="6">
        <f t="shared" si="21"/>
        <v>596400</v>
      </c>
      <c r="J188" s="6">
        <f t="shared" si="22"/>
        <v>197400</v>
      </c>
      <c r="K188" s="7">
        <f t="shared" si="23"/>
        <v>0.33098591549295775</v>
      </c>
    </row>
    <row r="189" spans="1:11" ht="16" x14ac:dyDescent="0.45">
      <c r="A189" s="1" t="s">
        <v>218</v>
      </c>
      <c r="B189" s="8">
        <v>45982</v>
      </c>
      <c r="C189" s="1" t="s">
        <v>22</v>
      </c>
      <c r="D189" s="1" t="s">
        <v>3</v>
      </c>
      <c r="E189" s="9">
        <v>54</v>
      </c>
      <c r="F189" s="10">
        <v>3500</v>
      </c>
      <c r="G189" s="10">
        <v>5200</v>
      </c>
      <c r="H189" s="10">
        <f t="shared" si="20"/>
        <v>189000</v>
      </c>
      <c r="I189" s="10">
        <f t="shared" si="21"/>
        <v>280800</v>
      </c>
      <c r="J189" s="10">
        <f t="shared" si="22"/>
        <v>91800</v>
      </c>
      <c r="K189" s="11">
        <f t="shared" si="23"/>
        <v>0.32692307692307693</v>
      </c>
    </row>
    <row r="190" spans="1:11" ht="16" x14ac:dyDescent="0.45">
      <c r="A190" s="3" t="s">
        <v>219</v>
      </c>
      <c r="B190" s="4">
        <v>45987</v>
      </c>
      <c r="C190" s="3" t="s">
        <v>22</v>
      </c>
      <c r="D190" s="3" t="s">
        <v>6</v>
      </c>
      <c r="E190" s="5">
        <v>102</v>
      </c>
      <c r="F190" s="6">
        <v>25000</v>
      </c>
      <c r="G190" s="6">
        <v>38000</v>
      </c>
      <c r="H190" s="6">
        <f t="shared" si="20"/>
        <v>2550000</v>
      </c>
      <c r="I190" s="6">
        <f t="shared" si="21"/>
        <v>3876000</v>
      </c>
      <c r="J190" s="6">
        <f t="shared" si="22"/>
        <v>1326000</v>
      </c>
      <c r="K190" s="7">
        <f t="shared" si="23"/>
        <v>0.34210526315789475</v>
      </c>
    </row>
    <row r="191" spans="1:11" ht="16" x14ac:dyDescent="0.45">
      <c r="A191" s="1" t="s">
        <v>220</v>
      </c>
      <c r="B191" s="8">
        <v>45987</v>
      </c>
      <c r="C191" s="1" t="s">
        <v>56</v>
      </c>
      <c r="D191" s="1" t="s">
        <v>12</v>
      </c>
      <c r="E191" s="9">
        <v>86</v>
      </c>
      <c r="F191" s="10">
        <v>7200</v>
      </c>
      <c r="G191" s="10">
        <v>10800</v>
      </c>
      <c r="H191" s="10">
        <f t="shared" si="20"/>
        <v>619200</v>
      </c>
      <c r="I191" s="10">
        <f t="shared" si="21"/>
        <v>928800</v>
      </c>
      <c r="J191" s="10">
        <f t="shared" si="22"/>
        <v>309600</v>
      </c>
      <c r="K191" s="11">
        <f t="shared" si="23"/>
        <v>0.33333333333333331</v>
      </c>
    </row>
    <row r="192" spans="1:11" ht="16" x14ac:dyDescent="0.45">
      <c r="A192" s="3" t="s">
        <v>221</v>
      </c>
      <c r="B192" s="4">
        <v>45989</v>
      </c>
      <c r="C192" s="3" t="s">
        <v>24</v>
      </c>
      <c r="D192" s="3" t="s">
        <v>8</v>
      </c>
      <c r="E192" s="5">
        <v>34</v>
      </c>
      <c r="F192" s="6">
        <v>9500</v>
      </c>
      <c r="G192" s="6">
        <v>14200</v>
      </c>
      <c r="H192" s="6">
        <f t="shared" si="20"/>
        <v>323000</v>
      </c>
      <c r="I192" s="6">
        <f t="shared" si="21"/>
        <v>482800</v>
      </c>
      <c r="J192" s="6">
        <f t="shared" si="22"/>
        <v>159800</v>
      </c>
      <c r="K192" s="7">
        <f t="shared" si="23"/>
        <v>0.33098591549295775</v>
      </c>
    </row>
    <row r="193" spans="1:11" ht="16" x14ac:dyDescent="0.45">
      <c r="A193" s="1" t="s">
        <v>222</v>
      </c>
      <c r="B193" s="8">
        <v>45989</v>
      </c>
      <c r="C193" s="1" t="s">
        <v>56</v>
      </c>
      <c r="D193" s="1" t="s">
        <v>8</v>
      </c>
      <c r="E193" s="9">
        <v>83</v>
      </c>
      <c r="F193" s="10">
        <v>9500</v>
      </c>
      <c r="G193" s="10">
        <v>14200</v>
      </c>
      <c r="H193" s="10">
        <f t="shared" si="20"/>
        <v>788500</v>
      </c>
      <c r="I193" s="10">
        <f t="shared" si="21"/>
        <v>1178600</v>
      </c>
      <c r="J193" s="10">
        <f t="shared" si="22"/>
        <v>390100</v>
      </c>
      <c r="K193" s="11">
        <f t="shared" si="23"/>
        <v>0.33098591549295775</v>
      </c>
    </row>
    <row r="194" spans="1:11" ht="16" x14ac:dyDescent="0.45">
      <c r="A194" s="3" t="s">
        <v>223</v>
      </c>
      <c r="B194" s="4">
        <v>45992</v>
      </c>
      <c r="C194" s="3" t="s">
        <v>26</v>
      </c>
      <c r="D194" s="3" t="s">
        <v>7</v>
      </c>
      <c r="E194" s="5">
        <v>95</v>
      </c>
      <c r="F194" s="6">
        <v>4100</v>
      </c>
      <c r="G194" s="6">
        <v>6300</v>
      </c>
      <c r="H194" s="6">
        <f t="shared" ref="H194:H201" si="24">E194*F194</f>
        <v>389500</v>
      </c>
      <c r="I194" s="6">
        <f t="shared" ref="I194:I201" si="25">E194*G194</f>
        <v>598500</v>
      </c>
      <c r="J194" s="6">
        <f t="shared" ref="J194:J201" si="26">I194-H194</f>
        <v>209000</v>
      </c>
      <c r="K194" s="7">
        <f t="shared" ref="K194:K201" si="27">IF(I194&gt;0, J194/I194, 0)</f>
        <v>0.34920634920634919</v>
      </c>
    </row>
    <row r="195" spans="1:11" ht="16" x14ac:dyDescent="0.45">
      <c r="A195" s="1" t="s">
        <v>224</v>
      </c>
      <c r="B195" s="8">
        <v>45996</v>
      </c>
      <c r="C195" s="1" t="s">
        <v>33</v>
      </c>
      <c r="D195" s="1" t="s">
        <v>3</v>
      </c>
      <c r="E195" s="9">
        <v>55</v>
      </c>
      <c r="F195" s="10">
        <v>3500</v>
      </c>
      <c r="G195" s="10">
        <v>5200</v>
      </c>
      <c r="H195" s="10">
        <f t="shared" si="24"/>
        <v>192500</v>
      </c>
      <c r="I195" s="10">
        <f t="shared" si="25"/>
        <v>286000</v>
      </c>
      <c r="J195" s="10">
        <f t="shared" si="26"/>
        <v>93500</v>
      </c>
      <c r="K195" s="11">
        <f t="shared" si="27"/>
        <v>0.32692307692307693</v>
      </c>
    </row>
    <row r="196" spans="1:11" ht="16" x14ac:dyDescent="0.45">
      <c r="A196" s="3" t="s">
        <v>225</v>
      </c>
      <c r="B196" s="4">
        <v>45997</v>
      </c>
      <c r="C196" s="3" t="s">
        <v>33</v>
      </c>
      <c r="D196" s="3" t="s">
        <v>10</v>
      </c>
      <c r="E196" s="5">
        <v>67</v>
      </c>
      <c r="F196" s="6">
        <v>5400</v>
      </c>
      <c r="G196" s="6">
        <v>8100</v>
      </c>
      <c r="H196" s="6">
        <f t="shared" si="24"/>
        <v>361800</v>
      </c>
      <c r="I196" s="6">
        <f t="shared" si="25"/>
        <v>542700</v>
      </c>
      <c r="J196" s="6">
        <f t="shared" si="26"/>
        <v>180900</v>
      </c>
      <c r="K196" s="7">
        <f t="shared" si="27"/>
        <v>0.33333333333333331</v>
      </c>
    </row>
    <row r="197" spans="1:11" ht="16" x14ac:dyDescent="0.45">
      <c r="A197" s="1" t="s">
        <v>226</v>
      </c>
      <c r="B197" s="8">
        <v>46004</v>
      </c>
      <c r="C197" s="1" t="s">
        <v>24</v>
      </c>
      <c r="D197" s="1" t="s">
        <v>7</v>
      </c>
      <c r="E197" s="9">
        <v>102</v>
      </c>
      <c r="F197" s="10">
        <v>4100</v>
      </c>
      <c r="G197" s="10">
        <v>6300</v>
      </c>
      <c r="H197" s="10">
        <f t="shared" si="24"/>
        <v>418200</v>
      </c>
      <c r="I197" s="10">
        <f t="shared" si="25"/>
        <v>642600</v>
      </c>
      <c r="J197" s="10">
        <f t="shared" si="26"/>
        <v>224400</v>
      </c>
      <c r="K197" s="11">
        <f t="shared" si="27"/>
        <v>0.34920634920634919</v>
      </c>
    </row>
    <row r="198" spans="1:11" ht="16" x14ac:dyDescent="0.45">
      <c r="A198" s="3" t="s">
        <v>227</v>
      </c>
      <c r="B198" s="4">
        <v>46005</v>
      </c>
      <c r="C198" s="3" t="s">
        <v>26</v>
      </c>
      <c r="D198" s="3" t="s">
        <v>7</v>
      </c>
      <c r="E198" s="5">
        <v>56</v>
      </c>
      <c r="F198" s="6">
        <v>4100</v>
      </c>
      <c r="G198" s="6">
        <v>6300</v>
      </c>
      <c r="H198" s="6">
        <f t="shared" si="24"/>
        <v>229600</v>
      </c>
      <c r="I198" s="6">
        <f t="shared" si="25"/>
        <v>352800</v>
      </c>
      <c r="J198" s="6">
        <f t="shared" si="26"/>
        <v>123200</v>
      </c>
      <c r="K198" s="7">
        <f t="shared" si="27"/>
        <v>0.34920634920634919</v>
      </c>
    </row>
    <row r="199" spans="1:11" ht="16" x14ac:dyDescent="0.45">
      <c r="A199" s="1" t="s">
        <v>228</v>
      </c>
      <c r="B199" s="8">
        <v>46006</v>
      </c>
      <c r="C199" s="1" t="s">
        <v>24</v>
      </c>
      <c r="D199" s="1" t="s">
        <v>9</v>
      </c>
      <c r="E199" s="9">
        <v>42</v>
      </c>
      <c r="F199" s="10">
        <v>6800</v>
      </c>
      <c r="G199" s="10">
        <v>10500</v>
      </c>
      <c r="H199" s="10">
        <f t="shared" si="24"/>
        <v>285600</v>
      </c>
      <c r="I199" s="10">
        <f t="shared" si="25"/>
        <v>441000</v>
      </c>
      <c r="J199" s="10">
        <f t="shared" si="26"/>
        <v>155400</v>
      </c>
      <c r="K199" s="11">
        <f t="shared" si="27"/>
        <v>0.35238095238095241</v>
      </c>
    </row>
    <row r="200" spans="1:11" ht="16" x14ac:dyDescent="0.45">
      <c r="A200" s="3" t="s">
        <v>229</v>
      </c>
      <c r="B200" s="4">
        <v>46007</v>
      </c>
      <c r="C200" s="3" t="s">
        <v>31</v>
      </c>
      <c r="D200" s="3" t="s">
        <v>6</v>
      </c>
      <c r="E200" s="5">
        <v>101</v>
      </c>
      <c r="F200" s="6">
        <v>25000</v>
      </c>
      <c r="G200" s="6">
        <v>38000</v>
      </c>
      <c r="H200" s="6">
        <f t="shared" si="24"/>
        <v>2525000</v>
      </c>
      <c r="I200" s="6">
        <f t="shared" si="25"/>
        <v>3838000</v>
      </c>
      <c r="J200" s="6">
        <f t="shared" si="26"/>
        <v>1313000</v>
      </c>
      <c r="K200" s="7">
        <f t="shared" si="27"/>
        <v>0.34210526315789475</v>
      </c>
    </row>
    <row r="201" spans="1:11" ht="16" x14ac:dyDescent="0.45">
      <c r="A201" s="1" t="s">
        <v>230</v>
      </c>
      <c r="B201" s="8">
        <v>46008</v>
      </c>
      <c r="C201" s="1" t="s">
        <v>33</v>
      </c>
      <c r="D201" s="1" t="s">
        <v>8</v>
      </c>
      <c r="E201" s="9">
        <v>92</v>
      </c>
      <c r="F201" s="10">
        <v>9500</v>
      </c>
      <c r="G201" s="10">
        <v>14200</v>
      </c>
      <c r="H201" s="10">
        <f t="shared" si="24"/>
        <v>874000</v>
      </c>
      <c r="I201" s="10">
        <f t="shared" si="25"/>
        <v>1306400</v>
      </c>
      <c r="J201" s="10">
        <f t="shared" si="26"/>
        <v>432400</v>
      </c>
      <c r="K201" s="11">
        <f t="shared" si="27"/>
        <v>0.33098591549295775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Analisis</vt:lpstr>
      <vt:lpstr>Registro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Cristobal Podesta</cp:lastModifiedBy>
  <dcterms:created xsi:type="dcterms:W3CDTF">2026-09-22T21:52:26Z</dcterms:created>
  <dcterms:modified xsi:type="dcterms:W3CDTF">2026-09-22T23:05:52Z</dcterms:modified>
</cp:coreProperties>
</file>